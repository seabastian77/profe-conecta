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llenarlo" sheetId="1" state="visible" r:id="rId1"/>
    <sheet xmlns:r="http://schemas.openxmlformats.org/officeDocument/2006/relationships" name="Registro de ejecución" sheetId="2" state="visible" r:id="rId2"/>
    <sheet xmlns:r="http://schemas.openxmlformats.org/officeDocument/2006/relationships" name="Defectos" sheetId="3" state="visible" r:id="rId3"/>
    <sheet xmlns:r="http://schemas.openxmlformats.org/officeDocument/2006/relationships" name="Reproducción cruzada" sheetId="4" state="visible" r:id="rId4"/>
    <sheet xmlns:r="http://schemas.openxmlformats.org/officeDocument/2006/relationships" name="Sesiones exploratorias" sheetId="5" state="visible" r:id="rId5"/>
    <sheet xmlns:r="http://schemas.openxmlformats.org/officeDocument/2006/relationships" name="Notas de sesión" sheetId="6" state="visible" r:id="rId6"/>
    <sheet xmlns:r="http://schemas.openxmlformats.org/officeDocument/2006/relationships" name="Métricas" sheetId="7" state="visible" r:id="rId7"/>
  </sheets>
  <definedNames>
    <definedName name="_xlnm._FilterDatabase" localSheetId="1" hidden="1">'Registro de ejecución'!$A$1:$L$51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11827"/>
      <sz val="14"/>
    </font>
    <font>
      <color rgb="00111827"/>
      <sz val="11"/>
    </font>
    <font>
      <b val="1"/>
      <color rgb="000F766E"/>
      <sz val="11"/>
    </font>
    <font>
      <b val="1"/>
      <color rgb="00FFFFFF"/>
    </font>
    <font>
      <b val="1"/>
      <color rgb="00111827"/>
    </font>
    <font>
      <b val="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59D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Registro de ejecución · Entregable 2 · Equipo F</t>
        </is>
      </c>
    </row>
    <row r="2">
      <c r="A2" s="2" t="inlineStr">
        <is>
          <t>Sistema: ConectaProfe en https://profe-conecta-production-e40c.up.railway.app (commit 693358a).</t>
        </is>
      </c>
    </row>
    <row r="3">
      <c r="A3" s="2" t="inlineStr"/>
    </row>
    <row r="4">
      <c r="A4" s="3" t="inlineStr">
        <is>
          <t>En general</t>
        </is>
      </c>
    </row>
    <row r="5">
      <c r="A5" s="2" t="inlineStr">
        <is>
          <t>Las columnas amarillas las llena quien ejecuta, en Railway, con lo que vio. Lo demás ya viene escrito.</t>
        </is>
      </c>
    </row>
    <row r="6">
      <c r="A6" s="2" t="inlineStr">
        <is>
          <t>Ciclo 1 en Chrome y ciclo 2 en Firefox, los dos en Windows. La versión del navegador: Chrome ⋮ → Ayuda → Información de Google Chrome; Firefox ☰ → Ayuda → Acerca de Firefox. Se escribe, por ejemplo, «Chrome 141.0».</t>
        </is>
      </c>
    </row>
    <row r="7">
      <c r="A7" s="2" t="inlineStr">
        <is>
          <t>Capturas: con Windows + Shift + S, mostrando la barra de direcciones (la dirección de Railway) y la hora de Windows. Se guardan con el nombre exacto de la columna «Evidencia», en la carpeta compartida y en pruebas/e2/evidencias-equipo/ del repositorio. Si un caso necesita dos capturas, se escriben las dos separadas por coma (EV-CP013-C1-01.png, EV-CP013-C1-02.png).</t>
        </is>
      </c>
    </row>
    <row r="8">
      <c r="A8" s="2" t="inlineStr">
        <is>
          <t>Pruebas de consola (CP-008, CP-018 y CP-021, y DEF-06, DEF-10 y DEF-13): la captura tiene que mostrar la consola abierta (F12) con el comando y la respuesta. Los comandos están en pruebas-consola.md.</t>
        </is>
      </c>
    </row>
    <row r="9">
      <c r="A9" s="2" t="inlineStr"/>
    </row>
    <row r="10">
      <c r="A10" s="3" t="inlineStr">
        <is>
          <t>Hoja «Registro de ejecución»</t>
        </is>
      </c>
    </row>
    <row r="11">
      <c r="A11" s="2" t="inlineStr">
        <is>
          <t>Estado: «Aprobado» si vieron lo esperado; «Fallido» si el sistema hace otra cosa; «Bloqueado» si no se pudo ejecutar por el entorno (por ejemplo, Google no configurado). Un bloqueado nunca se marca como fallido.</t>
        </is>
      </c>
    </row>
    <row r="12">
      <c r="A12" s="2" t="inlineStr">
        <is>
          <t>Defecto: si el caso falló, el identificador del defecto (DEF-01 a DEF-14). Si es un fallo nuevo, escriban «NUEVO» y cuéntenlo para reportarlo.</t>
        </is>
      </c>
    </row>
    <row r="13">
      <c r="A13" s="2" t="inlineStr">
        <is>
          <t>La lista del ciclo 2 es la planeada. Si en el ciclo 1 falla o se bloquea un caso que no está en ella, agreguen su fila al final con ciclo 2.</t>
        </is>
      </c>
    </row>
    <row r="14">
      <c r="A14" s="2" t="inlineStr"/>
    </row>
    <row r="15">
      <c r="A15" s="3" t="inlineStr">
        <is>
          <t>Hoja «Defectos»</t>
        </is>
      </c>
    </row>
    <row r="16">
      <c r="A16" s="2" t="inlineStr">
        <is>
          <t>Cada fila la llena quien aparece en «Reportado por», con su propia prueba en Railway: fecha, navegador, sistema operativo, intentos (cuántas veces le salió de cuántas lo intentó, por ejemplo «3 de 3»), resultado real con sus palabras y el nombre de la captura.</t>
        </is>
      </c>
    </row>
    <row r="17">
      <c r="A17" s="2" t="inlineStr">
        <is>
          <t>DEF-05 ya está corregido en el código que corre Railway: lo que se hace es verificarlo. Si las observaciones se ven como texto, en «Estado» se escribe «Verificado».</t>
        </is>
      </c>
    </row>
    <row r="18">
      <c r="A18" s="2" t="inlineStr"/>
    </row>
    <row r="19">
      <c r="A19" s="3" t="inlineStr">
        <is>
          <t>Hoja «Reproducción cruzada»</t>
        </is>
      </c>
    </row>
    <row r="20">
      <c r="A20" s="2" t="inlineStr">
        <is>
          <t>La llena quien aparece en «Reproducido por», siguiendo solo el reporte del otro, sin preguntarle nada. Resultado: «Reproducido» (salió solo con el reporte), «Con ayuda» (hubo que preguntar) o «No reproducido». En los dos últimos se escribe qué le faltaba al reporte. Para DEF-05 lo esperado es «No reproducido», porque ya está corregido.</t>
        </is>
      </c>
    </row>
    <row r="21">
      <c r="A21" s="2" t="inlineStr"/>
    </row>
    <row r="22">
      <c r="A22" s="3" t="inlineStr">
        <is>
          <t>Hojas «Sesiones exploratorias» y «Notas de sesión»</t>
        </is>
      </c>
    </row>
    <row r="23">
      <c r="A23" s="2" t="inlineStr">
        <is>
          <t>Una sesión de 45 a 60 minutos por integrante, con cronómetro. En «Notas de sesión» va una fila por cada cosa que hicieron o vieron, con el minuto.</t>
        </is>
      </c>
    </row>
    <row r="24">
      <c r="A24" s="2" t="inlineStr"/>
    </row>
    <row r="25">
      <c r="A25" s="2" t="inlineStr">
        <is>
          <t>La hoja «Métricas» se calcula sola con lo que se llene.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30" customWidth="1" min="3" max="3"/>
    <col width="40" customWidth="1" min="4" max="4"/>
    <col width="24" customWidth="1" min="5" max="5"/>
    <col width="18" customWidth="1" min="6" max="6"/>
    <col width="14" customWidth="1" min="7" max="7"/>
    <col width="12" customWidth="1" min="8" max="8"/>
    <col width="12" customWidth="1" min="9" max="9"/>
    <col width="60" customWidth="1" min="10" max="10"/>
    <col width="26" customWidth="1" min="11" max="11"/>
    <col width="10" customWidth="1" min="12" max="12"/>
  </cols>
  <sheetData>
    <row r="1" ht="32" customHeight="1">
      <c r="A1" s="4" t="inlineStr">
        <is>
          <t>Caso</t>
        </is>
      </c>
      <c r="B1" s="4" t="inlineStr">
        <is>
          <t>Ciclo</t>
        </is>
      </c>
      <c r="C1" s="4" t="inlineStr">
        <is>
          <t>Qué prueba</t>
        </is>
      </c>
      <c r="D1" s="4" t="inlineStr">
        <is>
          <t>Resultado esperado</t>
        </is>
      </c>
      <c r="E1" s="4" t="inlineStr">
        <is>
          <t>Lo ejecuta</t>
        </is>
      </c>
      <c r="F1" s="5" t="inlineStr">
        <is>
          <t>Navegador y versión</t>
        </is>
      </c>
      <c r="G1" s="5" t="inlineStr">
        <is>
          <t>Sistema operativo</t>
        </is>
      </c>
      <c r="H1" s="5" t="inlineStr">
        <is>
          <t>Fecha</t>
        </is>
      </c>
      <c r="I1" s="5" t="inlineStr">
        <is>
          <t>Estado</t>
        </is>
      </c>
      <c r="J1" s="5" t="inlineStr">
        <is>
          <t>Resultado real</t>
        </is>
      </c>
      <c r="K1" s="5" t="inlineStr">
        <is>
          <t>Evidencia</t>
        </is>
      </c>
      <c r="L1" s="5" t="inlineStr">
        <is>
          <t>Defecto</t>
        </is>
      </c>
    </row>
    <row r="2">
      <c r="A2" s="6" t="inlineStr">
        <is>
          <t>CP-001</t>
        </is>
      </c>
      <c r="B2" s="7" t="n">
        <v>1</v>
      </c>
      <c r="C2" s="7" t="inlineStr">
        <is>
          <t>Rechazo de contraseña con menos de 8 caracteres</t>
        </is>
      </c>
      <c r="D2" s="7" t="inlineStr">
        <is>
          <t>El formulario no envía nada y muestra un mensaje que nombra la regla de los 8 caracteres (RF005).</t>
        </is>
      </c>
      <c r="E2" s="7" t="inlineStr">
        <is>
          <t>Esteban Palencia</t>
        </is>
      </c>
      <c r="F2" s="8" t="inlineStr"/>
      <c r="G2" s="8" t="inlineStr"/>
      <c r="H2" s="8" t="inlineStr"/>
      <c r="I2" s="8" t="inlineStr"/>
      <c r="J2" s="8" t="inlineStr"/>
      <c r="K2" s="8" t="inlineStr">
        <is>
          <t>EV-CP001-C1-01.png</t>
        </is>
      </c>
      <c r="L2" s="8" t="inlineStr"/>
    </row>
    <row r="3">
      <c r="A3" s="6" t="inlineStr">
        <is>
          <t>CP-002</t>
        </is>
      </c>
      <c r="B3" s="7" t="n">
        <v>1</v>
      </c>
      <c r="C3" s="7" t="inlineStr">
        <is>
          <t>Aceptación de contraseña de exactamente 8 caracteres</t>
        </is>
      </c>
      <c r="D3" s="7" t="inlineStr">
        <is>
          <t>Crea la cuenta (HTTP 201) y pasa a «Completar perfil» del estudiante.</t>
        </is>
      </c>
      <c r="E3" s="7" t="inlineStr">
        <is>
          <t>Esteban Palencia</t>
        </is>
      </c>
      <c r="F3" s="8" t="inlineStr"/>
      <c r="G3" s="8" t="inlineStr"/>
      <c r="H3" s="8" t="inlineStr"/>
      <c r="I3" s="8" t="inlineStr"/>
      <c r="J3" s="8" t="inlineStr"/>
      <c r="K3" s="8" t="inlineStr">
        <is>
          <t>EV-CP002-C1-01.png</t>
        </is>
      </c>
      <c r="L3" s="8" t="inlineStr"/>
    </row>
    <row r="4">
      <c r="A4" s="6" t="inlineStr">
        <is>
          <t>CP-003</t>
        </is>
      </c>
      <c r="B4" s="7" t="n">
        <v>1</v>
      </c>
      <c r="C4" s="7" t="inlineStr">
        <is>
          <t>Rechazo de contraseña sin números</t>
        </is>
      </c>
      <c r="D4" s="7" t="inlineStr">
        <is>
          <t>El formulario no envía nada y muestra «Debe incluir al menos un número».</t>
        </is>
      </c>
      <c r="E4" s="7" t="inlineStr">
        <is>
          <t>Esteban Palencia</t>
        </is>
      </c>
      <c r="F4" s="8" t="inlineStr"/>
      <c r="G4" s="8" t="inlineStr"/>
      <c r="H4" s="8" t="inlineStr"/>
      <c r="I4" s="8" t="inlineStr"/>
      <c r="J4" s="8" t="inlineStr"/>
      <c r="K4" s="8" t="inlineStr">
        <is>
          <t>EV-CP003-C1-01.png</t>
        </is>
      </c>
      <c r="L4" s="8" t="inlineStr"/>
    </row>
    <row r="5">
      <c r="A5" s="6" t="inlineStr">
        <is>
          <t>CP-004</t>
        </is>
      </c>
      <c r="B5" s="7" t="n">
        <v>1</v>
      </c>
      <c r="C5" s="7" t="inlineStr">
        <is>
          <t>Rechazo de contraseña sin letras</t>
        </is>
      </c>
      <c r="D5" s="7" t="inlineStr">
        <is>
          <t>El formulario no envía nada y muestra «Debe incluir al menos una letra».</t>
        </is>
      </c>
      <c r="E5" s="7" t="inlineStr">
        <is>
          <t>Esteban Palencia</t>
        </is>
      </c>
      <c r="F5" s="8" t="inlineStr"/>
      <c r="G5" s="8" t="inlineStr"/>
      <c r="H5" s="8" t="inlineStr"/>
      <c r="I5" s="8" t="inlineStr"/>
      <c r="J5" s="8" t="inlineStr"/>
      <c r="K5" s="8" t="inlineStr">
        <is>
          <t>EV-CP004-C1-01.png</t>
        </is>
      </c>
      <c r="L5" s="8" t="inlineStr"/>
    </row>
    <row r="6">
      <c r="A6" s="6" t="inlineStr">
        <is>
          <t>CP-005</t>
        </is>
      </c>
      <c r="B6" s="7" t="n">
        <v>1</v>
      </c>
      <c r="C6" s="7" t="inlineStr">
        <is>
          <t>Rechazo de correo fuera del dominio institucional</t>
        </is>
      </c>
      <c r="D6" s="7" t="inlineStr">
        <is>
          <t>Rechaza el registro con el mensaje «Solo correos @amigo.edu.co».</t>
        </is>
      </c>
      <c r="E6" s="7" t="inlineStr">
        <is>
          <t>Esteban Palencia</t>
        </is>
      </c>
      <c r="F6" s="8" t="inlineStr"/>
      <c r="G6" s="8" t="inlineStr"/>
      <c r="H6" s="8" t="inlineStr"/>
      <c r="I6" s="8" t="inlineStr"/>
      <c r="J6" s="8" t="inlineStr"/>
      <c r="K6" s="8" t="inlineStr">
        <is>
          <t>EV-CP005-C1-01.png</t>
        </is>
      </c>
      <c r="L6" s="8" t="inlineStr"/>
    </row>
    <row r="7">
      <c r="A7" s="6" t="inlineStr">
        <is>
          <t>CP-006</t>
        </is>
      </c>
      <c r="B7" s="7" t="n">
        <v>1</v>
      </c>
      <c r="C7" s="7" t="inlineStr">
        <is>
          <t>Aceptación de correo del dominio institucional</t>
        </is>
      </c>
      <c r="D7" s="7" t="inlineStr">
        <is>
          <t>Crea la cuenta (HTTP 201), devuelve token y pasa a «Completar perfil» del docente.</t>
        </is>
      </c>
      <c r="E7" s="7" t="inlineStr">
        <is>
          <t>Esteban Palencia</t>
        </is>
      </c>
      <c r="F7" s="8" t="inlineStr"/>
      <c r="G7" s="8" t="inlineStr"/>
      <c r="H7" s="8" t="inlineStr"/>
      <c r="I7" s="8" t="inlineStr"/>
      <c r="J7" s="8" t="inlineStr"/>
      <c r="K7" s="8" t="inlineStr">
        <is>
          <t>EV-CP006-C1-01.png</t>
        </is>
      </c>
      <c r="L7" s="8" t="inlineStr"/>
    </row>
    <row r="8">
      <c r="A8" s="6" t="inlineStr">
        <is>
          <t>CP-007</t>
        </is>
      </c>
      <c r="B8" s="7" t="n">
        <v>1</v>
      </c>
      <c r="C8" s="7" t="inlineStr">
        <is>
          <t>Registro válido con todas las condiciones satisfechas</t>
        </is>
      </c>
      <c r="D8" s="7" t="inlineStr">
        <is>
          <t>Crea la cuenta (HTTP 201) y continúa al formulario de perfil.</t>
        </is>
      </c>
      <c r="E8" s="7" t="inlineStr">
        <is>
          <t>Esteban Palencia</t>
        </is>
      </c>
      <c r="F8" s="8" t="inlineStr"/>
      <c r="G8" s="8" t="inlineStr"/>
      <c r="H8" s="8" t="inlineStr"/>
      <c r="I8" s="8" t="inlineStr"/>
      <c r="J8" s="8" t="inlineStr"/>
      <c r="K8" s="8" t="inlineStr">
        <is>
          <t>EV-CP007-C1-01.png</t>
        </is>
      </c>
      <c r="L8" s="8" t="inlineStr"/>
    </row>
    <row r="9">
      <c r="A9" s="6" t="inlineStr">
        <is>
          <t>CP-008</t>
        </is>
      </c>
      <c r="B9" s="7" t="n">
        <v>1</v>
      </c>
      <c r="C9" s="7" t="inlineStr">
        <is>
          <t>Rechazo de registro con rol de administrador (consola F12)</t>
        </is>
      </c>
      <c r="D9" s="7" t="inlineStr">
        <is>
          <t>HTTP 400 con «Rol inválido»; no se crea la cuenta de administrador.</t>
        </is>
      </c>
      <c r="E9" s="7" t="inlineStr">
        <is>
          <t>Esteban Palencia</t>
        </is>
      </c>
      <c r="F9" s="8" t="inlineStr"/>
      <c r="G9" s="8" t="inlineStr"/>
      <c r="H9" s="8" t="inlineStr"/>
      <c r="I9" s="8" t="inlineStr"/>
      <c r="J9" s="8" t="inlineStr"/>
      <c r="K9" s="8" t="inlineStr">
        <is>
          <t>EV-CP008-C1-01.png</t>
        </is>
      </c>
      <c r="L9" s="8" t="inlineStr"/>
    </row>
    <row r="10">
      <c r="A10" s="6" t="inlineStr">
        <is>
          <t>CP-009</t>
        </is>
      </c>
      <c r="B10" s="7" t="n">
        <v>1</v>
      </c>
      <c r="C10" s="7" t="inlineStr">
        <is>
          <t>Rechazo de registro con correo ya existente</t>
        </is>
      </c>
      <c r="D10" s="7" t="inlineStr">
        <is>
          <t>HTTP 409 y el mensaje «Ya existe una cuenta con ese correo»; no se crea un duplicado.</t>
        </is>
      </c>
      <c r="E10" s="7" t="inlineStr">
        <is>
          <t>Esteban Palencia</t>
        </is>
      </c>
      <c r="F10" s="8" t="inlineStr"/>
      <c r="G10" s="8" t="inlineStr"/>
      <c r="H10" s="8" t="inlineStr"/>
      <c r="I10" s="8" t="inlineStr"/>
      <c r="J10" s="8" t="inlineStr"/>
      <c r="K10" s="8" t="inlineStr">
        <is>
          <t>EV-CP009-C1-01.png</t>
        </is>
      </c>
      <c r="L10" s="8" t="inlineStr"/>
    </row>
    <row r="11">
      <c r="A11" s="6" t="inlineStr">
        <is>
          <t>CP-010</t>
        </is>
      </c>
      <c r="B11" s="7" t="n">
        <v>1</v>
      </c>
      <c r="C11" s="7" t="inlineStr">
        <is>
          <t>Inicio de sesión con credenciales correctas</t>
        </is>
      </c>
      <c r="D11" s="7" t="inlineStr">
        <is>
          <t>Autentica (HTTP 200), entrega token y muestra el panel del estudiante.</t>
        </is>
      </c>
      <c r="E11" s="7" t="inlineStr">
        <is>
          <t>Esteban Palencia</t>
        </is>
      </c>
      <c r="F11" s="8" t="inlineStr"/>
      <c r="G11" s="8" t="inlineStr"/>
      <c r="H11" s="8" t="inlineStr"/>
      <c r="I11" s="8" t="inlineStr"/>
      <c r="J11" s="8" t="inlineStr"/>
      <c r="K11" s="8" t="inlineStr">
        <is>
          <t>EV-CP010-C1-01.png</t>
        </is>
      </c>
      <c r="L11" s="8" t="inlineStr"/>
    </row>
    <row r="12">
      <c r="A12" s="6" t="inlineStr">
        <is>
          <t>CP-011</t>
        </is>
      </c>
      <c r="B12" s="7" t="n">
        <v>1</v>
      </c>
      <c r="C12" s="7" t="inlineStr">
        <is>
          <t>Inicio de sesión con contraseña incorrecta</t>
        </is>
      </c>
      <c r="D12" s="7" t="inlineStr">
        <is>
          <t>HTTP 401 con el mensaje genérico «Correo o contraseña incorrectos».</t>
        </is>
      </c>
      <c r="E12" s="7" t="inlineStr">
        <is>
          <t>Esteban Palencia</t>
        </is>
      </c>
      <c r="F12" s="8" t="inlineStr"/>
      <c r="G12" s="8" t="inlineStr"/>
      <c r="H12" s="8" t="inlineStr"/>
      <c r="I12" s="8" t="inlineStr"/>
      <c r="J12" s="8" t="inlineStr"/>
      <c r="K12" s="8" t="inlineStr">
        <is>
          <t>EV-CP011-C1-01.png</t>
        </is>
      </c>
      <c r="L12" s="8" t="inlineStr"/>
    </row>
    <row r="13">
      <c r="A13" s="6" t="inlineStr">
        <is>
          <t>CP-012</t>
        </is>
      </c>
      <c r="B13" s="7" t="n">
        <v>1</v>
      </c>
      <c r="C13" s="7" t="inlineStr">
        <is>
          <t>Un intento fallido no bloquea la cuenta</t>
        </is>
      </c>
      <c r="D13" s="7" t="inlineStr">
        <is>
          <t>HTTP 401 (no 429) y ningún aviso de bloqueo.</t>
        </is>
      </c>
      <c r="E13" s="7" t="inlineStr">
        <is>
          <t>Esteban Palencia</t>
        </is>
      </c>
      <c r="F13" s="8" t="inlineStr"/>
      <c r="G13" s="8" t="inlineStr"/>
      <c r="H13" s="8" t="inlineStr"/>
      <c r="I13" s="8" t="inlineStr"/>
      <c r="J13" s="8" t="inlineStr"/>
      <c r="K13" s="8" t="inlineStr">
        <is>
          <t>EV-CP012-C1-01.png</t>
        </is>
      </c>
      <c r="L13" s="8" t="inlineStr"/>
    </row>
    <row r="14">
      <c r="A14" s="6" t="inlineStr">
        <is>
          <t>CP-013</t>
        </is>
      </c>
      <c r="B14" s="7" t="n">
        <v>1</v>
      </c>
      <c r="C14" s="7" t="inlineStr">
        <is>
          <t>Bloqueo después del tercer intento fallido</t>
        </is>
      </c>
      <c r="D14" s="7" t="inlineStr">
        <is>
          <t>RRN01: tras 3 intentos incorrectos el acceso se bloquea 5 minutos; el cuarto intento se rechaza aunque la clave sea correcta.</t>
        </is>
      </c>
      <c r="E14" s="7" t="inlineStr">
        <is>
          <t>Esteban Palencia</t>
        </is>
      </c>
      <c r="F14" s="8" t="inlineStr"/>
      <c r="G14" s="8" t="inlineStr"/>
      <c r="H14" s="8" t="inlineStr"/>
      <c r="I14" s="8" t="inlineStr"/>
      <c r="J14" s="8" t="inlineStr"/>
      <c r="K14" s="8" t="inlineStr">
        <is>
          <t>EV-CP013-C1-01.png</t>
        </is>
      </c>
      <c r="L14" s="8" t="inlineStr"/>
    </row>
    <row r="15">
      <c r="A15" s="6" t="inlineStr">
        <is>
          <t>CP-014</t>
        </is>
      </c>
      <c r="B15" s="7" t="n">
        <v>1</v>
      </c>
      <c r="C15" s="7" t="inlineStr">
        <is>
          <t>Ingreso con Google usando cuenta institucional verificada</t>
        </is>
      </c>
      <c r="D15" s="7" t="inlineStr">
        <is>
          <t>Crea o vincula la cuenta y abre sesión con rol estudiante.</t>
        </is>
      </c>
      <c r="E15" s="7" t="inlineStr">
        <is>
          <t>Esteban Palencia</t>
        </is>
      </c>
      <c r="F15" s="8" t="inlineStr"/>
      <c r="G15" s="8" t="inlineStr"/>
      <c r="H15" s="8" t="inlineStr"/>
      <c r="I15" s="8" t="inlineStr"/>
      <c r="J15" s="8" t="inlineStr"/>
      <c r="K15" s="8" t="inlineStr">
        <is>
          <t>EV-CP014-C1-01.png</t>
        </is>
      </c>
      <c r="L15" s="8" t="inlineStr"/>
    </row>
    <row r="16">
      <c r="A16" s="6" t="inlineStr">
        <is>
          <t>CP-015</t>
        </is>
      </c>
      <c r="B16" s="7" t="n">
        <v>1</v>
      </c>
      <c r="C16" s="7" t="inlineStr">
        <is>
          <t>Rechazo de Google con cuenta fuera del dominio</t>
        </is>
      </c>
      <c r="D16" s="7" t="inlineStr">
        <is>
          <t>No abre sesión y vuelve al inicio con el error de dominio.</t>
        </is>
      </c>
      <c r="E16" s="7" t="inlineStr">
        <is>
          <t>Esteban Palencia</t>
        </is>
      </c>
      <c r="F16" s="8" t="inlineStr"/>
      <c r="G16" s="8" t="inlineStr"/>
      <c r="H16" s="8" t="inlineStr"/>
      <c r="I16" s="8" t="inlineStr"/>
      <c r="J16" s="8" t="inlineStr"/>
      <c r="K16" s="8" t="inlineStr">
        <is>
          <t>EV-CP015-C1-01.png</t>
        </is>
      </c>
      <c r="L16" s="8" t="inlineStr"/>
    </row>
    <row r="17">
      <c r="A17" s="6" t="inlineStr">
        <is>
          <t>CP-016</t>
        </is>
      </c>
      <c r="B17" s="7" t="n">
        <v>1</v>
      </c>
      <c r="C17" s="7" t="inlineStr">
        <is>
          <t>Guardar perfil de estudiante con datos válidos</t>
        </is>
      </c>
      <c r="D17" s="7" t="inlineStr">
        <is>
          <t>Guarda el perfil y muestra en pantalla «Perfil guardado».</t>
        </is>
      </c>
      <c r="E17" s="7" t="inlineStr">
        <is>
          <t>Sebastián González González</t>
        </is>
      </c>
      <c r="F17" s="8" t="inlineStr"/>
      <c r="G17" s="8" t="inlineStr"/>
      <c r="H17" s="8" t="inlineStr"/>
      <c r="I17" s="8" t="inlineStr"/>
      <c r="J17" s="8" t="inlineStr"/>
      <c r="K17" s="8" t="inlineStr">
        <is>
          <t>EV-CP016-C1-01.png</t>
        </is>
      </c>
      <c r="L17" s="8" t="inlineStr"/>
    </row>
    <row r="18">
      <c r="A18" s="6" t="inlineStr">
        <is>
          <t>CP-017</t>
        </is>
      </c>
      <c r="B18" s="7" t="n">
        <v>1</v>
      </c>
      <c r="C18" s="7" t="inlineStr">
        <is>
          <t>Rechazo de foto de perfil mayor a 2 MB</t>
        </is>
      </c>
      <c r="D18" s="7" t="inlineStr">
        <is>
          <t>Rechaza la imagen e informa que el tamaño máximo permitido es 2 MB.</t>
        </is>
      </c>
      <c r="E18" s="7" t="inlineStr">
        <is>
          <t>Sebastián González González</t>
        </is>
      </c>
      <c r="F18" s="8" t="inlineStr"/>
      <c r="G18" s="8" t="inlineStr"/>
      <c r="H18" s="8" t="inlineStr"/>
      <c r="I18" s="8" t="inlineStr"/>
      <c r="J18" s="8" t="inlineStr"/>
      <c r="K18" s="8" t="inlineStr">
        <is>
          <t>EV-CP017-C1-01.png</t>
        </is>
      </c>
      <c r="L18" s="8" t="inlineStr"/>
    </row>
    <row r="19">
      <c r="A19" s="6" t="inlineStr">
        <is>
          <t>CP-018</t>
        </is>
      </c>
      <c r="B19" s="7" t="n">
        <v>1</v>
      </c>
      <c r="C19" s="7" t="inlineStr">
        <is>
          <t>Un estudiante no puede guardar un perfil de docente (consola F12)</t>
        </is>
      </c>
      <c r="D19" s="7" t="inlineStr">
        <is>
          <t>HTTP 403 y no se crea ningún perfil de docente.</t>
        </is>
      </c>
      <c r="E19" s="7" t="inlineStr">
        <is>
          <t>Sebastián González González</t>
        </is>
      </c>
      <c r="F19" s="8" t="inlineStr"/>
      <c r="G19" s="8" t="inlineStr"/>
      <c r="H19" s="8" t="inlineStr"/>
      <c r="I19" s="8" t="inlineStr"/>
      <c r="J19" s="8" t="inlineStr"/>
      <c r="K19" s="8" t="inlineStr">
        <is>
          <t>EV-CP018-C1-01.png</t>
        </is>
      </c>
      <c r="L19" s="8" t="inlineStr"/>
    </row>
    <row r="20">
      <c r="A20" s="6" t="inlineStr">
        <is>
          <t>CP-019</t>
        </is>
      </c>
      <c r="B20" s="7" t="n">
        <v>1</v>
      </c>
      <c r="C20" s="7" t="inlineStr">
        <is>
          <t>Rechazo de tutoría con fecha del mismo día</t>
        </is>
      </c>
      <c r="D20" s="7" t="inlineStr">
        <is>
          <t>Rechaza la programación: la fecha debe ser a partir de mañana.</t>
        </is>
      </c>
      <c r="E20" s="7" t="inlineStr">
        <is>
          <t>Sebastián González González</t>
        </is>
      </c>
      <c r="F20" s="8" t="inlineStr"/>
      <c r="G20" s="8" t="inlineStr"/>
      <c r="H20" s="8" t="inlineStr"/>
      <c r="I20" s="8" t="inlineStr"/>
      <c r="J20" s="8" t="inlineStr"/>
      <c r="K20" s="8" t="inlineStr">
        <is>
          <t>EV-CP019-C1-01.png</t>
        </is>
      </c>
      <c r="L20" s="8" t="inlineStr"/>
    </row>
    <row r="21">
      <c r="A21" s="6" t="inlineStr">
        <is>
          <t>CP-020</t>
        </is>
      </c>
      <c r="B21" s="7" t="n">
        <v>1</v>
      </c>
      <c r="C21" s="7" t="inlineStr">
        <is>
          <t>Rechazo de tutoría con fecha pasada</t>
        </is>
      </c>
      <c r="D21" s="7" t="inlineStr">
        <is>
          <t>El formulario no envía nada y muestra «La fecha debe ser a partir de mañana (RN06)».</t>
        </is>
      </c>
      <c r="E21" s="7" t="inlineStr">
        <is>
          <t>Sebastián González González</t>
        </is>
      </c>
      <c r="F21" s="8" t="inlineStr"/>
      <c r="G21" s="8" t="inlineStr"/>
      <c r="H21" s="8" t="inlineStr"/>
      <c r="I21" s="8" t="inlineStr"/>
      <c r="J21" s="8" t="inlineStr"/>
      <c r="K21" s="8" t="inlineStr">
        <is>
          <t>EV-CP020-C1-01.png</t>
        </is>
      </c>
      <c r="L21" s="8" t="inlineStr"/>
    </row>
    <row r="22">
      <c r="A22" s="6" t="inlineStr">
        <is>
          <t>CP-021</t>
        </is>
      </c>
      <c r="B22" s="7" t="n">
        <v>1</v>
      </c>
      <c r="C22" s="7" t="inlineStr">
        <is>
          <t>Rechazo de tutoría con docente inexistente (consola F12)</t>
        </is>
      </c>
      <c r="D22" s="7" t="inlineStr">
        <is>
          <t>HTTP 404 «Docente no encontrado o inactivo» sin error 500; el sistema sigue arriba.</t>
        </is>
      </c>
      <c r="E22" s="7" t="inlineStr">
        <is>
          <t>Sebastián González González</t>
        </is>
      </c>
      <c r="F22" s="8" t="inlineStr"/>
      <c r="G22" s="8" t="inlineStr"/>
      <c r="H22" s="8" t="inlineStr"/>
      <c r="I22" s="8" t="inlineStr"/>
      <c r="J22" s="8" t="inlineStr"/>
      <c r="K22" s="8" t="inlineStr">
        <is>
          <t>EV-CP021-C1-01.png</t>
        </is>
      </c>
      <c r="L22" s="8" t="inlineStr"/>
    </row>
    <row r="23">
      <c r="A23" s="6" t="inlineStr">
        <is>
          <t>CP-022</t>
        </is>
      </c>
      <c r="B23" s="7" t="n">
        <v>1</v>
      </c>
      <c r="C23" s="7" t="inlineStr">
        <is>
          <t>Rechazo de tutoría por choque de horario del docente</t>
        </is>
      </c>
      <c r="D23" s="7" t="inlineStr">
        <is>
          <t>HTTP 409 «El docente ya tiene una tutoría a esa hora» y no se crea la segunda tutoría.</t>
        </is>
      </c>
      <c r="E23" s="7" t="inlineStr">
        <is>
          <t>Sebastián González González</t>
        </is>
      </c>
      <c r="F23" s="8" t="inlineStr"/>
      <c r="G23" s="8" t="inlineStr"/>
      <c r="H23" s="8" t="inlineStr"/>
      <c r="I23" s="8" t="inlineStr"/>
      <c r="J23" s="8" t="inlineStr"/>
      <c r="K23" s="8" t="inlineStr">
        <is>
          <t>EV-CP022-C1-01.png</t>
        </is>
      </c>
      <c r="L23" s="8" t="inlineStr"/>
    </row>
    <row r="24">
      <c r="A24" s="6" t="inlineStr">
        <is>
          <t>CP-023</t>
        </is>
      </c>
      <c r="B24" s="7" t="n">
        <v>1</v>
      </c>
      <c r="C24" s="7" t="inlineStr">
        <is>
          <t>Ciclo de vida de la tutoría: de pendiente a cancelada</t>
        </is>
      </c>
      <c r="D24" s="7" t="inlineStr">
        <is>
          <t>La tutoría pasa a «Cancelada» y deja de permitir acciones.</t>
        </is>
      </c>
      <c r="E24" s="7" t="inlineStr">
        <is>
          <t>Sebastián González González</t>
        </is>
      </c>
      <c r="F24" s="8" t="inlineStr"/>
      <c r="G24" s="8" t="inlineStr"/>
      <c r="H24" s="8" t="inlineStr"/>
      <c r="I24" s="8" t="inlineStr"/>
      <c r="J24" s="8" t="inlineStr"/>
      <c r="K24" s="8" t="inlineStr">
        <is>
          <t>EV-CP023-C1-01.png</t>
        </is>
      </c>
      <c r="L24" s="8" t="inlineStr"/>
    </row>
    <row r="25">
      <c r="A25" s="6" t="inlineStr">
        <is>
          <t>CP-024</t>
        </is>
      </c>
      <c r="B25" s="7" t="n">
        <v>1</v>
      </c>
      <c r="C25" s="7" t="inlineStr">
        <is>
          <t>Rechazo de cancelación con menos de 24 h de antelación</t>
        </is>
      </c>
      <c r="D25" s="7" t="inlineStr">
        <is>
          <t>Rechaza la cancelación e indica en pantalla que se requieren 24 h de antelación.</t>
        </is>
      </c>
      <c r="E25" s="7" t="inlineStr">
        <is>
          <t>Sebastián González González</t>
        </is>
      </c>
      <c r="F25" s="8" t="inlineStr"/>
      <c r="G25" s="8" t="inlineStr"/>
      <c r="H25" s="8" t="inlineStr"/>
      <c r="I25" s="8" t="inlineStr"/>
      <c r="J25" s="8" t="inlineStr"/>
      <c r="K25" s="8" t="inlineStr">
        <is>
          <t>EV-CP024-C1-01.png</t>
        </is>
      </c>
      <c r="L25" s="8" t="inlineStr"/>
    </row>
    <row r="26">
      <c r="A26" s="6" t="inlineStr">
        <is>
          <t>CP-025</t>
        </is>
      </c>
      <c r="B26" s="7" t="n">
        <v>1</v>
      </c>
      <c r="C26" s="7" t="inlineStr">
        <is>
          <t>Cancelación permitida con 24 h o más de antelación</t>
        </is>
      </c>
      <c r="D26" s="7" t="inlineStr">
        <is>
          <t>Con 24 h o más de margen, cancela la tutoría.</t>
        </is>
      </c>
      <c r="E26" s="7" t="inlineStr">
        <is>
          <t>Sebastián González González</t>
        </is>
      </c>
      <c r="F26" s="8" t="inlineStr"/>
      <c r="G26" s="8" t="inlineStr"/>
      <c r="H26" s="8" t="inlineStr"/>
      <c r="I26" s="8" t="inlineStr"/>
      <c r="J26" s="8" t="inlineStr"/>
      <c r="K26" s="8" t="inlineStr">
        <is>
          <t>EV-CP025-C1-01.png</t>
        </is>
      </c>
      <c r="L26" s="8" t="inlineStr"/>
    </row>
    <row r="27">
      <c r="A27" s="6" t="inlineStr">
        <is>
          <t>CP-026</t>
        </is>
      </c>
      <c r="B27" s="7" t="n">
        <v>1</v>
      </c>
      <c r="C27" s="7" t="inlineStr">
        <is>
          <t>Cierre de tutoría vencida por el docente (marcar realizada)</t>
        </is>
      </c>
      <c r="D27" s="7" t="inlineStr">
        <is>
          <t>La tutoría vencida pasa a «Completada».</t>
        </is>
      </c>
      <c r="E27" s="7" t="inlineStr">
        <is>
          <t>Sebastián González González</t>
        </is>
      </c>
      <c r="F27" s="8" t="inlineStr"/>
      <c r="G27" s="8" t="inlineStr"/>
      <c r="H27" s="8" t="inlineStr"/>
      <c r="I27" s="8" t="inlineStr"/>
      <c r="J27" s="8" t="inlineStr"/>
      <c r="K27" s="8" t="inlineStr">
        <is>
          <t>EV-CP026-C1-01.png</t>
        </is>
      </c>
      <c r="L27" s="8" t="inlineStr"/>
    </row>
    <row r="28">
      <c r="A28" s="6" t="inlineStr">
        <is>
          <t>CP-027</t>
        </is>
      </c>
      <c r="B28" s="7" t="n">
        <v>1</v>
      </c>
      <c r="C28" s="7" t="inlineStr">
        <is>
          <t>Creación de usuario por el administrador con contraseña válida</t>
        </is>
      </c>
      <c r="D28" s="7" t="inlineStr">
        <is>
          <t>Crea el usuario, devuelve su identificador y aparece en la tabla.</t>
        </is>
      </c>
      <c r="E28" s="7" t="inlineStr">
        <is>
          <t>Sebastián González González</t>
        </is>
      </c>
      <c r="F28" s="8" t="inlineStr"/>
      <c r="G28" s="8" t="inlineStr"/>
      <c r="H28" s="8" t="inlineStr"/>
      <c r="I28" s="8" t="inlineStr"/>
      <c r="J28" s="8" t="inlineStr"/>
      <c r="K28" s="8" t="inlineStr">
        <is>
          <t>EV-CP027-C1-01.png</t>
        </is>
      </c>
      <c r="L28" s="8" t="inlineStr"/>
    </row>
    <row r="29">
      <c r="A29" s="6" t="inlineStr">
        <is>
          <t>CP-028</t>
        </is>
      </c>
      <c r="B29" s="7" t="n">
        <v>1</v>
      </c>
      <c r="C29" s="7" t="inlineStr">
        <is>
          <t>Rechazo al editar un usuario con un correo ya usado por otro</t>
        </is>
      </c>
      <c r="D29" s="7" t="inlineStr">
        <is>
          <t>HTTP 409 «Ya existe otro usuario con ese correo» y no aplica el cambio.</t>
        </is>
      </c>
      <c r="E29" s="7" t="inlineStr">
        <is>
          <t>Sebastián González González</t>
        </is>
      </c>
      <c r="F29" s="8" t="inlineStr"/>
      <c r="G29" s="8" t="inlineStr"/>
      <c r="H29" s="8" t="inlineStr"/>
      <c r="I29" s="8" t="inlineStr"/>
      <c r="J29" s="8" t="inlineStr"/>
      <c r="K29" s="8" t="inlineStr">
        <is>
          <t>EV-CP028-C1-01.png</t>
        </is>
      </c>
      <c r="L29" s="8" t="inlineStr"/>
    </row>
    <row r="30">
      <c r="A30" s="6" t="inlineStr">
        <is>
          <t>CP-029</t>
        </is>
      </c>
      <c r="B30" s="7" t="n">
        <v>1</v>
      </c>
      <c r="C30" s="7" t="inlineStr">
        <is>
          <t>La auditoría registra el evento con fecha válida</t>
        </is>
      </c>
      <c r="D30" s="7" t="inlineStr">
        <is>
          <t>El evento aparece con fecha y hora legibles (no «NaN») y con el tipo correcto.</t>
        </is>
      </c>
      <c r="E30" s="7" t="inlineStr">
        <is>
          <t>Sebastián González González</t>
        </is>
      </c>
      <c r="F30" s="8" t="inlineStr"/>
      <c r="G30" s="8" t="inlineStr"/>
      <c r="H30" s="8" t="inlineStr"/>
      <c r="I30" s="8" t="inlineStr"/>
      <c r="J30" s="8" t="inlineStr"/>
      <c r="K30" s="8" t="inlineStr">
        <is>
          <t>EV-CP029-C1-01.png</t>
        </is>
      </c>
      <c r="L30" s="8" t="inlineStr"/>
    </row>
    <row r="31">
      <c r="A31" s="6" t="inlineStr">
        <is>
          <t>CP-030</t>
        </is>
      </c>
      <c r="B31" s="7" t="n">
        <v>1</v>
      </c>
      <c r="C31" s="7" t="inlineStr">
        <is>
          <t>Envío de notificación a un grupo de usuarios</t>
        </is>
      </c>
      <c r="D31" s="7" t="inlineStr">
        <is>
          <t>Informa el número de usuarios notificados y registra el envío en el historial.</t>
        </is>
      </c>
      <c r="E31" s="7" t="inlineStr">
        <is>
          <t>Sebastián González González</t>
        </is>
      </c>
      <c r="F31" s="8" t="inlineStr"/>
      <c r="G31" s="8" t="inlineStr"/>
      <c r="H31" s="8" t="inlineStr"/>
      <c r="I31" s="8" t="inlineStr"/>
      <c r="J31" s="8" t="inlineStr"/>
      <c r="K31" s="8" t="inlineStr">
        <is>
          <t>EV-CP030-C1-01.png</t>
        </is>
      </c>
      <c r="L31" s="8" t="inlineStr"/>
    </row>
    <row r="32">
      <c r="A32" s="6" t="inlineStr">
        <is>
          <t>CP-031</t>
        </is>
      </c>
      <c r="B32" s="7" t="n">
        <v>1</v>
      </c>
      <c r="C32" s="7" t="inlineStr">
        <is>
          <t>Filtro de la tabla de usuarios (combinaciones por pares)</t>
        </is>
      </c>
      <c r="D32" s="7" t="inlineStr">
        <is>
          <t>En cada combinación la tabla muestra solo los usuarios que cumplen los tres criterios y el contador coincide con las filas visibles.</t>
        </is>
      </c>
      <c r="E32" s="7" t="inlineStr">
        <is>
          <t>Sebastián González González</t>
        </is>
      </c>
      <c r="F32" s="8" t="inlineStr"/>
      <c r="G32" s="8" t="inlineStr"/>
      <c r="H32" s="8" t="inlineStr"/>
      <c r="I32" s="8" t="inlineStr"/>
      <c r="J32" s="8" t="inlineStr"/>
      <c r="K32" s="8" t="inlineStr">
        <is>
          <t>EV-CP031-C1-01.png</t>
        </is>
      </c>
      <c r="L32" s="8" t="inlineStr"/>
    </row>
    <row r="33">
      <c r="A33" s="6" t="inlineStr">
        <is>
          <t>CP-032</t>
        </is>
      </c>
      <c r="B33" s="7" t="n">
        <v>1</v>
      </c>
      <c r="C33" s="7" t="inlineStr">
        <is>
          <t>El administrador no programa asesorías para hoy</t>
        </is>
      </c>
      <c r="D33" s="7" t="inlineStr">
        <is>
          <t>RRN06: no se puede programar para el mismo día; el sistema rechaza la asesoría.</t>
        </is>
      </c>
      <c r="E33" s="7" t="inlineStr">
        <is>
          <t>Esteban Palencia</t>
        </is>
      </c>
      <c r="F33" s="8" t="inlineStr"/>
      <c r="G33" s="8" t="inlineStr"/>
      <c r="H33" s="8" t="inlineStr"/>
      <c r="I33" s="8" t="inlineStr"/>
      <c r="J33" s="8" t="inlineStr"/>
      <c r="K33" s="8" t="inlineStr">
        <is>
          <t>EV-CP032-C1-01.png</t>
        </is>
      </c>
      <c r="L33" s="8" t="inlineStr"/>
    </row>
    <row r="34">
      <c r="A34" s="6" t="inlineStr">
        <is>
          <t>CP-033</t>
        </is>
      </c>
      <c r="B34" s="7" t="n">
        <v>1</v>
      </c>
      <c r="C34" s="7" t="inlineStr">
        <is>
          <t>Un estudiante no queda con dos tutorías a la misma hora</t>
        </is>
      </c>
      <c r="D34" s="7" t="inlineStr">
        <is>
          <t>R5 valida el horario de los participantes: rechaza la segunda tutoría.</t>
        </is>
      </c>
      <c r="E34" s="7" t="inlineStr">
        <is>
          <t>Esteban Palencia</t>
        </is>
      </c>
      <c r="F34" s="8" t="inlineStr"/>
      <c r="G34" s="8" t="inlineStr"/>
      <c r="H34" s="8" t="inlineStr"/>
      <c r="I34" s="8" t="inlineStr"/>
      <c r="J34" s="8" t="inlineStr"/>
      <c r="K34" s="8" t="inlineStr">
        <is>
          <t>EV-CP033-C1-01.png</t>
        </is>
      </c>
      <c r="L34" s="8" t="inlineStr"/>
    </row>
    <row r="35">
      <c r="A35" s="6" t="inlineStr">
        <is>
          <t>CP-034</t>
        </is>
      </c>
      <c r="B35" s="7" t="n">
        <v>1</v>
      </c>
      <c r="C35" s="7" t="inlineStr">
        <is>
          <t>La sesión expira tras 15 minutos sin actividad</t>
        </is>
      </c>
      <c r="D35" s="7" t="inlineStr">
        <is>
          <t>RNF02: a los 15 minutos de inactividad la sesión expira y el sistema lleva al inicio de sesión.</t>
        </is>
      </c>
      <c r="E35" s="7" t="inlineStr">
        <is>
          <t>Sebastián González González</t>
        </is>
      </c>
      <c r="F35" s="8" t="inlineStr"/>
      <c r="G35" s="8" t="inlineStr"/>
      <c r="H35" s="8" t="inlineStr"/>
      <c r="I35" s="8" t="inlineStr"/>
      <c r="J35" s="8" t="inlineStr"/>
      <c r="K35" s="8" t="inlineStr">
        <is>
          <t>EV-CP034-C1-01.png</t>
        </is>
      </c>
      <c r="L35" s="8" t="inlineStr"/>
    </row>
    <row r="36">
      <c r="A36" s="6" t="inlineStr">
        <is>
          <t>CP-007</t>
        </is>
      </c>
      <c r="B36" s="7" t="n">
        <v>2</v>
      </c>
      <c r="C36" s="7" t="inlineStr">
        <is>
          <t>Registro válido con todas las condiciones satisfechas</t>
        </is>
      </c>
      <c r="D36" s="7" t="inlineStr">
        <is>
          <t>Crea la cuenta (HTTP 201) y continúa al formulario de perfil.</t>
        </is>
      </c>
      <c r="E36" s="7" t="inlineStr">
        <is>
          <t>Sebastián González González</t>
        </is>
      </c>
      <c r="F36" s="8" t="inlineStr"/>
      <c r="G36" s="8" t="inlineStr"/>
      <c r="H36" s="8" t="inlineStr"/>
      <c r="I36" s="8" t="inlineStr"/>
      <c r="J36" s="8" t="inlineStr"/>
      <c r="K36" s="8" t="inlineStr">
        <is>
          <t>EV-CP007-C2-01.png</t>
        </is>
      </c>
      <c r="L36" s="8" t="inlineStr"/>
    </row>
    <row r="37">
      <c r="A37" s="6" t="inlineStr">
        <is>
          <t>CP-008</t>
        </is>
      </c>
      <c r="B37" s="7" t="n">
        <v>2</v>
      </c>
      <c r="C37" s="7" t="inlineStr">
        <is>
          <t>Rechazo de registro con rol de administrador (consola F12)</t>
        </is>
      </c>
      <c r="D37" s="7" t="inlineStr">
        <is>
          <t>HTTP 400 con «Rol inválido»; no se crea la cuenta de administrador.</t>
        </is>
      </c>
      <c r="E37" s="7" t="inlineStr">
        <is>
          <t>Sebastián González González</t>
        </is>
      </c>
      <c r="F37" s="8" t="inlineStr"/>
      <c r="G37" s="8" t="inlineStr"/>
      <c r="H37" s="8" t="inlineStr"/>
      <c r="I37" s="8" t="inlineStr"/>
      <c r="J37" s="8" t="inlineStr"/>
      <c r="K37" s="8" t="inlineStr">
        <is>
          <t>EV-CP008-C2-01.png</t>
        </is>
      </c>
      <c r="L37" s="8" t="inlineStr"/>
    </row>
    <row r="38">
      <c r="A38" s="6" t="inlineStr">
        <is>
          <t>CP-013</t>
        </is>
      </c>
      <c r="B38" s="7" t="n">
        <v>2</v>
      </c>
      <c r="C38" s="7" t="inlineStr">
        <is>
          <t>Bloqueo después del tercer intento fallido</t>
        </is>
      </c>
      <c r="D38" s="7" t="inlineStr">
        <is>
          <t>RRN01: tras 3 intentos incorrectos el acceso se bloquea 5 minutos; el cuarto intento se rechaza aunque la clave sea correcta.</t>
        </is>
      </c>
      <c r="E38" s="7" t="inlineStr">
        <is>
          <t>Sebastián González González</t>
        </is>
      </c>
      <c r="F38" s="8" t="inlineStr"/>
      <c r="G38" s="8" t="inlineStr"/>
      <c r="H38" s="8" t="inlineStr"/>
      <c r="I38" s="8" t="inlineStr"/>
      <c r="J38" s="8" t="inlineStr"/>
      <c r="K38" s="8" t="inlineStr">
        <is>
          <t>EV-CP013-C2-01.png</t>
        </is>
      </c>
      <c r="L38" s="8" t="inlineStr"/>
    </row>
    <row r="39">
      <c r="A39" s="6" t="inlineStr">
        <is>
          <t>CP-016</t>
        </is>
      </c>
      <c r="B39" s="7" t="n">
        <v>2</v>
      </c>
      <c r="C39" s="7" t="inlineStr">
        <is>
          <t>Guardar perfil de estudiante con datos válidos</t>
        </is>
      </c>
      <c r="D39" s="7" t="inlineStr">
        <is>
          <t>Guarda el perfil y muestra en pantalla «Perfil guardado».</t>
        </is>
      </c>
      <c r="E39" s="7" t="inlineStr">
        <is>
          <t>Esteban Palencia</t>
        </is>
      </c>
      <c r="F39" s="8" t="inlineStr"/>
      <c r="G39" s="8" t="inlineStr"/>
      <c r="H39" s="8" t="inlineStr"/>
      <c r="I39" s="8" t="inlineStr"/>
      <c r="J39" s="8" t="inlineStr"/>
      <c r="K39" s="8" t="inlineStr">
        <is>
          <t>EV-CP016-C2-01.png</t>
        </is>
      </c>
      <c r="L39" s="8" t="inlineStr"/>
    </row>
    <row r="40">
      <c r="A40" s="6" t="inlineStr">
        <is>
          <t>CP-017</t>
        </is>
      </c>
      <c r="B40" s="7" t="n">
        <v>2</v>
      </c>
      <c r="C40" s="7" t="inlineStr">
        <is>
          <t>Rechazo de foto de perfil mayor a 2 MB</t>
        </is>
      </c>
      <c r="D40" s="7" t="inlineStr">
        <is>
          <t>Rechaza la imagen e informa que el tamaño máximo permitido es 2 MB.</t>
        </is>
      </c>
      <c r="E40" s="7" t="inlineStr">
        <is>
          <t>Esteban Palencia</t>
        </is>
      </c>
      <c r="F40" s="8" t="inlineStr"/>
      <c r="G40" s="8" t="inlineStr"/>
      <c r="H40" s="8" t="inlineStr"/>
      <c r="I40" s="8" t="inlineStr"/>
      <c r="J40" s="8" t="inlineStr"/>
      <c r="K40" s="8" t="inlineStr">
        <is>
          <t>EV-CP017-C2-01.png</t>
        </is>
      </c>
      <c r="L40" s="8" t="inlineStr"/>
    </row>
    <row r="41">
      <c r="A41" s="6" t="inlineStr">
        <is>
          <t>CP-018</t>
        </is>
      </c>
      <c r="B41" s="7" t="n">
        <v>2</v>
      </c>
      <c r="C41" s="7" t="inlineStr">
        <is>
          <t>Un estudiante no puede guardar un perfil de docente (consola F12)</t>
        </is>
      </c>
      <c r="D41" s="7" t="inlineStr">
        <is>
          <t>HTTP 403 y no se crea ningún perfil de docente.</t>
        </is>
      </c>
      <c r="E41" s="7" t="inlineStr">
        <is>
          <t>Esteban Palencia</t>
        </is>
      </c>
      <c r="F41" s="8" t="inlineStr"/>
      <c r="G41" s="8" t="inlineStr"/>
      <c r="H41" s="8" t="inlineStr"/>
      <c r="I41" s="8" t="inlineStr"/>
      <c r="J41" s="8" t="inlineStr"/>
      <c r="K41" s="8" t="inlineStr">
        <is>
          <t>EV-CP018-C2-01.png</t>
        </is>
      </c>
      <c r="L41" s="8" t="inlineStr"/>
    </row>
    <row r="42">
      <c r="A42" s="6" t="inlineStr">
        <is>
          <t>CP-019</t>
        </is>
      </c>
      <c r="B42" s="7" t="n">
        <v>2</v>
      </c>
      <c r="C42" s="7" t="inlineStr">
        <is>
          <t>Rechazo de tutoría con fecha del mismo día</t>
        </is>
      </c>
      <c r="D42" s="7" t="inlineStr">
        <is>
          <t>Rechaza la programación: la fecha debe ser a partir de mañana.</t>
        </is>
      </c>
      <c r="E42" s="7" t="inlineStr">
        <is>
          <t>Esteban Palencia</t>
        </is>
      </c>
      <c r="F42" s="8" t="inlineStr"/>
      <c r="G42" s="8" t="inlineStr"/>
      <c r="H42" s="8" t="inlineStr"/>
      <c r="I42" s="8" t="inlineStr"/>
      <c r="J42" s="8" t="inlineStr"/>
      <c r="K42" s="8" t="inlineStr">
        <is>
          <t>EV-CP019-C2-01.png</t>
        </is>
      </c>
      <c r="L42" s="8" t="inlineStr"/>
    </row>
    <row r="43">
      <c r="A43" s="6" t="inlineStr">
        <is>
          <t>CP-020</t>
        </is>
      </c>
      <c r="B43" s="7" t="n">
        <v>2</v>
      </c>
      <c r="C43" s="7" t="inlineStr">
        <is>
          <t>Rechazo de tutoría con fecha pasada</t>
        </is>
      </c>
      <c r="D43" s="7" t="inlineStr">
        <is>
          <t>El formulario no envía nada y muestra «La fecha debe ser a partir de mañana (RN06)».</t>
        </is>
      </c>
      <c r="E43" s="7" t="inlineStr">
        <is>
          <t>Esteban Palencia</t>
        </is>
      </c>
      <c r="F43" s="8" t="inlineStr"/>
      <c r="G43" s="8" t="inlineStr"/>
      <c r="H43" s="8" t="inlineStr"/>
      <c r="I43" s="8" t="inlineStr"/>
      <c r="J43" s="8" t="inlineStr"/>
      <c r="K43" s="8" t="inlineStr">
        <is>
          <t>EV-CP020-C2-01.png</t>
        </is>
      </c>
      <c r="L43" s="8" t="inlineStr"/>
    </row>
    <row r="44">
      <c r="A44" s="6" t="inlineStr">
        <is>
          <t>CP-021</t>
        </is>
      </c>
      <c r="B44" s="7" t="n">
        <v>2</v>
      </c>
      <c r="C44" s="7" t="inlineStr">
        <is>
          <t>Rechazo de tutoría con docente inexistente (consola F12)</t>
        </is>
      </c>
      <c r="D44" s="7" t="inlineStr">
        <is>
          <t>HTTP 404 «Docente no encontrado o inactivo» sin error 500; el sistema sigue arriba.</t>
        </is>
      </c>
      <c r="E44" s="7" t="inlineStr">
        <is>
          <t>Esteban Palencia</t>
        </is>
      </c>
      <c r="F44" s="8" t="inlineStr"/>
      <c r="G44" s="8" t="inlineStr"/>
      <c r="H44" s="8" t="inlineStr"/>
      <c r="I44" s="8" t="inlineStr"/>
      <c r="J44" s="8" t="inlineStr"/>
      <c r="K44" s="8" t="inlineStr">
        <is>
          <t>EV-CP021-C2-01.png</t>
        </is>
      </c>
      <c r="L44" s="8" t="inlineStr"/>
    </row>
    <row r="45">
      <c r="A45" s="6" t="inlineStr">
        <is>
          <t>CP-022</t>
        </is>
      </c>
      <c r="B45" s="7" t="n">
        <v>2</v>
      </c>
      <c r="C45" s="7" t="inlineStr">
        <is>
          <t>Rechazo de tutoría por choque de horario del docente</t>
        </is>
      </c>
      <c r="D45" s="7" t="inlineStr">
        <is>
          <t>HTTP 409 «El docente ya tiene una tutoría a esa hora» y no se crea la segunda tutoría.</t>
        </is>
      </c>
      <c r="E45" s="7" t="inlineStr">
        <is>
          <t>Esteban Palencia</t>
        </is>
      </c>
      <c r="F45" s="8" t="inlineStr"/>
      <c r="G45" s="8" t="inlineStr"/>
      <c r="H45" s="8" t="inlineStr"/>
      <c r="I45" s="8" t="inlineStr"/>
      <c r="J45" s="8" t="inlineStr"/>
      <c r="K45" s="8" t="inlineStr">
        <is>
          <t>EV-CP022-C2-01.png</t>
        </is>
      </c>
      <c r="L45" s="8" t="inlineStr"/>
    </row>
    <row r="46">
      <c r="A46" s="6" t="inlineStr">
        <is>
          <t>CP-024</t>
        </is>
      </c>
      <c r="B46" s="7" t="n">
        <v>2</v>
      </c>
      <c r="C46" s="7" t="inlineStr">
        <is>
          <t>Rechazo de cancelación con menos de 24 h de antelación</t>
        </is>
      </c>
      <c r="D46" s="7" t="inlineStr">
        <is>
          <t>Rechaza la cancelación e indica en pantalla que se requieren 24 h de antelación.</t>
        </is>
      </c>
      <c r="E46" s="7" t="inlineStr">
        <is>
          <t>Esteban Palencia</t>
        </is>
      </c>
      <c r="F46" s="8" t="inlineStr"/>
      <c r="G46" s="8" t="inlineStr"/>
      <c r="H46" s="8" t="inlineStr"/>
      <c r="I46" s="8" t="inlineStr"/>
      <c r="J46" s="8" t="inlineStr"/>
      <c r="K46" s="8" t="inlineStr">
        <is>
          <t>EV-CP024-C2-01.png</t>
        </is>
      </c>
      <c r="L46" s="8" t="inlineStr"/>
    </row>
    <row r="47">
      <c r="A47" s="6" t="inlineStr">
        <is>
          <t>CP-025</t>
        </is>
      </c>
      <c r="B47" s="7" t="n">
        <v>2</v>
      </c>
      <c r="C47" s="7" t="inlineStr">
        <is>
          <t>Cancelación permitida con 24 h o más de antelación</t>
        </is>
      </c>
      <c r="D47" s="7" t="inlineStr">
        <is>
          <t>Con 24 h o más de margen, cancela la tutoría.</t>
        </is>
      </c>
      <c r="E47" s="7" t="inlineStr">
        <is>
          <t>Esteban Palencia</t>
        </is>
      </c>
      <c r="F47" s="8" t="inlineStr"/>
      <c r="G47" s="8" t="inlineStr"/>
      <c r="H47" s="8" t="inlineStr"/>
      <c r="I47" s="8" t="inlineStr"/>
      <c r="J47" s="8" t="inlineStr"/>
      <c r="K47" s="8" t="inlineStr">
        <is>
          <t>EV-CP025-C2-01.png</t>
        </is>
      </c>
      <c r="L47" s="8" t="inlineStr"/>
    </row>
    <row r="48">
      <c r="A48" s="6" t="inlineStr">
        <is>
          <t>CP-031</t>
        </is>
      </c>
      <c r="B48" s="7" t="n">
        <v>2</v>
      </c>
      <c r="C48" s="7" t="inlineStr">
        <is>
          <t>Filtro de la tabla de usuarios (combinaciones por pares)</t>
        </is>
      </c>
      <c r="D48" s="7" t="inlineStr">
        <is>
          <t>En cada combinación la tabla muestra solo los usuarios que cumplen los tres criterios y el contador coincide con las filas visibles.</t>
        </is>
      </c>
      <c r="E48" s="7" t="inlineStr">
        <is>
          <t>Esteban Palencia</t>
        </is>
      </c>
      <c r="F48" s="8" t="inlineStr"/>
      <c r="G48" s="8" t="inlineStr"/>
      <c r="H48" s="8" t="inlineStr"/>
      <c r="I48" s="8" t="inlineStr"/>
      <c r="J48" s="8" t="inlineStr"/>
      <c r="K48" s="8" t="inlineStr">
        <is>
          <t>EV-CP031-C2-01.png</t>
        </is>
      </c>
      <c r="L48" s="8" t="inlineStr"/>
    </row>
    <row r="49">
      <c r="A49" s="6" t="inlineStr">
        <is>
          <t>CP-032</t>
        </is>
      </c>
      <c r="B49" s="7" t="n">
        <v>2</v>
      </c>
      <c r="C49" s="7" t="inlineStr">
        <is>
          <t>El administrador no programa asesorías para hoy</t>
        </is>
      </c>
      <c r="D49" s="7" t="inlineStr">
        <is>
          <t>RRN06: no se puede programar para el mismo día; el sistema rechaza la asesoría.</t>
        </is>
      </c>
      <c r="E49" s="7" t="inlineStr">
        <is>
          <t>Sebastián González González</t>
        </is>
      </c>
      <c r="F49" s="8" t="inlineStr"/>
      <c r="G49" s="8" t="inlineStr"/>
      <c r="H49" s="8" t="inlineStr"/>
      <c r="I49" s="8" t="inlineStr"/>
      <c r="J49" s="8" t="inlineStr"/>
      <c r="K49" s="8" t="inlineStr">
        <is>
          <t>EV-CP032-C2-01.png</t>
        </is>
      </c>
      <c r="L49" s="8" t="inlineStr"/>
    </row>
    <row r="50">
      <c r="A50" s="6" t="inlineStr">
        <is>
          <t>CP-033</t>
        </is>
      </c>
      <c r="B50" s="7" t="n">
        <v>2</v>
      </c>
      <c r="C50" s="7" t="inlineStr">
        <is>
          <t>Un estudiante no queda con dos tutorías a la misma hora</t>
        </is>
      </c>
      <c r="D50" s="7" t="inlineStr">
        <is>
          <t>R5 valida el horario de los participantes: rechaza la segunda tutoría.</t>
        </is>
      </c>
      <c r="E50" s="7" t="inlineStr">
        <is>
          <t>Sebastián González González</t>
        </is>
      </c>
      <c r="F50" s="8" t="inlineStr"/>
      <c r="G50" s="8" t="inlineStr"/>
      <c r="H50" s="8" t="inlineStr"/>
      <c r="I50" s="8" t="inlineStr"/>
      <c r="J50" s="8" t="inlineStr"/>
      <c r="K50" s="8" t="inlineStr">
        <is>
          <t>EV-CP033-C2-01.png</t>
        </is>
      </c>
      <c r="L50" s="8" t="inlineStr"/>
    </row>
    <row r="51">
      <c r="A51" s="6" t="inlineStr">
        <is>
          <t>CP-034</t>
        </is>
      </c>
      <c r="B51" s="7" t="n">
        <v>2</v>
      </c>
      <c r="C51" s="7" t="inlineStr">
        <is>
          <t>La sesión expira tras 15 minutos sin actividad</t>
        </is>
      </c>
      <c r="D51" s="7" t="inlineStr">
        <is>
          <t>RNF02: a los 15 minutos de inactividad la sesión expira y el sistema lleva al inicio de sesión.</t>
        </is>
      </c>
      <c r="E51" s="7" t="inlineStr">
        <is>
          <t>Esteban Palencia</t>
        </is>
      </c>
      <c r="F51" s="8" t="inlineStr"/>
      <c r="G51" s="8" t="inlineStr"/>
      <c r="H51" s="8" t="inlineStr"/>
      <c r="I51" s="8" t="inlineStr"/>
      <c r="J51" s="8" t="inlineStr"/>
      <c r="K51" s="8" t="inlineStr">
        <is>
          <t>EV-CP034-C2-01.png</t>
        </is>
      </c>
      <c r="L51" s="8" t="inlineStr"/>
    </row>
  </sheetData>
  <autoFilter ref="A1:L51"/>
  <dataValidations count="2">
    <dataValidation sqref="I2:I72" showDropDown="0" showInputMessage="0" showErrorMessage="1" allowBlank="1" errorTitle="Estado" error="Escoja una opción de la lista: Aprobado, Fallido, Bloqueado." type="list" errorStyle="stop">
      <formula1>"Aprobado,Fallido,Bloqueado"</formula1>
    </dataValidation>
    <dataValidation sqref="L2:L72" showDropDown="0" showInputMessage="0" showErrorMessage="1" allowBlank="1" errorTitle="Defecto" error="Escoja una opción de la lista: DEF-01, DEF-02, DEF-03, DEF-04, DEF-05, DEF-06, DEF-07, DEF-08, DEF-09, DEF-10, DEF-11, DEF-12, DEF-13, DEF-14, NUEVO." type="list" errorStyle="stop">
      <formula1>"DEF-01,DEF-02,DEF-03,DEF-04,DEF-05,DEF-06,DEF-07,DEF-08,DEF-09,DEF-10,DEF-11,DEF-12,DEF-13,DEF-14,NUEVO"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0" customWidth="1" min="4" max="4"/>
    <col width="10" customWidth="1" min="5" max="5"/>
    <col width="10" customWidth="1" min="6" max="6"/>
    <col width="24" customWidth="1" min="7" max="7"/>
    <col width="24" customWidth="1" min="8" max="8"/>
    <col width="12" customWidth="1" min="9" max="9"/>
    <col width="18" customWidth="1" min="10" max="10"/>
    <col width="14" customWidth="1" min="11" max="11"/>
    <col width="10" customWidth="1" min="12" max="12"/>
    <col width="60" customWidth="1" min="13" max="13"/>
    <col width="30" customWidth="1" min="14" max="14"/>
    <col width="14" customWidth="1" min="15" max="15"/>
  </cols>
  <sheetData>
    <row r="1" ht="32" customHeight="1">
      <c r="A1" s="4" t="inlineStr">
        <is>
          <t>ID</t>
        </is>
      </c>
      <c r="B1" s="4" t="inlineStr">
        <is>
          <t>Título</t>
        </is>
      </c>
      <c r="C1" s="4" t="inlineStr">
        <is>
          <t>Requisito</t>
        </is>
      </c>
      <c r="D1" s="4" t="inlineStr">
        <is>
          <t>Severidad</t>
        </is>
      </c>
      <c r="E1" s="4" t="inlineStr">
        <is>
          <t>Prioridad</t>
        </is>
      </c>
      <c r="F1" s="4" t="inlineStr">
        <is>
          <t>Origen</t>
        </is>
      </c>
      <c r="G1" s="4" t="inlineStr">
        <is>
          <t>Reportado por (llena esta fila)</t>
        </is>
      </c>
      <c r="H1" s="4" t="inlineStr">
        <is>
          <t>Reproducido por</t>
        </is>
      </c>
      <c r="I1" s="5" t="inlineStr">
        <is>
          <t>Fecha</t>
        </is>
      </c>
      <c r="J1" s="5" t="inlineStr">
        <is>
          <t>Navegador y versión</t>
        </is>
      </c>
      <c r="K1" s="5" t="inlineStr">
        <is>
          <t>Sistema operativo</t>
        </is>
      </c>
      <c r="L1" s="5" t="inlineStr">
        <is>
          <t>Intentos</t>
        </is>
      </c>
      <c r="M1" s="5" t="inlineStr">
        <is>
          <t>Resultado real</t>
        </is>
      </c>
      <c r="N1" s="5" t="inlineStr">
        <is>
          <t>Evidencia</t>
        </is>
      </c>
      <c r="O1" s="5" t="inlineStr">
        <is>
          <t>Estado</t>
        </is>
      </c>
    </row>
    <row r="2">
      <c r="A2" s="6" t="inlineStr">
        <is>
          <t>DEF-01</t>
        </is>
      </c>
      <c r="B2" s="7" t="inlineStr">
        <is>
          <t>La sesión sigue abierta después de 16 minutos sin actividad; solo se cierra a las 2 horas, y únicamente al recargar</t>
        </is>
      </c>
      <c r="C2" s="7" t="inlineStr">
        <is>
          <t>RNF02</t>
        </is>
      </c>
      <c r="D2" s="7" t="inlineStr">
        <is>
          <t>Alta</t>
        </is>
      </c>
      <c r="E2" s="7" t="inlineStr">
        <is>
          <t>Alta</t>
        </is>
      </c>
      <c r="F2" s="7" t="inlineStr">
        <is>
          <t>SE-01 · CP-034</t>
        </is>
      </c>
      <c r="G2" s="7" t="inlineStr">
        <is>
          <t>Esteban Palencia</t>
        </is>
      </c>
      <c r="H2" s="7" t="inlineStr">
        <is>
          <t>Sebastián González González</t>
        </is>
      </c>
      <c r="I2" s="8" t="inlineStr"/>
      <c r="J2" s="8" t="inlineStr"/>
      <c r="K2" s="8" t="inlineStr"/>
      <c r="L2" s="8" t="inlineStr"/>
      <c r="M2" s="8" t="inlineStr"/>
      <c r="N2" s="8" t="inlineStr">
        <is>
          <t>EV-DEF01-01.png</t>
        </is>
      </c>
      <c r="O2" s="8" t="inlineStr"/>
    </row>
    <row r="3">
      <c r="A3" s="6" t="inlineStr">
        <is>
          <t>DEF-02</t>
        </is>
      </c>
      <c r="B3" s="7" t="inlineStr">
        <is>
          <t>El administrador programa una asesoría con fecha de hoy, y por la API también con fechas pasadas</t>
        </is>
      </c>
      <c r="C3" s="7" t="inlineStr">
        <is>
          <t>R5 · RRN06</t>
        </is>
      </c>
      <c r="D3" s="7" t="inlineStr">
        <is>
          <t>Media</t>
        </is>
      </c>
      <c r="E3" s="7" t="inlineStr">
        <is>
          <t>Alta</t>
        </is>
      </c>
      <c r="F3" s="7" t="inlineStr">
        <is>
          <t>CP-032</t>
        </is>
      </c>
      <c r="G3" s="7" t="inlineStr">
        <is>
          <t>Esteban Palencia</t>
        </is>
      </c>
      <c r="H3" s="7" t="inlineStr">
        <is>
          <t>Sebastián González González</t>
        </is>
      </c>
      <c r="I3" s="8" t="inlineStr"/>
      <c r="J3" s="8" t="inlineStr"/>
      <c r="K3" s="8" t="inlineStr"/>
      <c r="L3" s="8" t="inlineStr"/>
      <c r="M3" s="8" t="inlineStr"/>
      <c r="N3" s="8" t="inlineStr">
        <is>
          <t>EV-CP032-C1-01.png</t>
        </is>
      </c>
      <c r="O3" s="8" t="inlineStr"/>
    </row>
    <row r="4">
      <c r="A4" s="6" t="inlineStr">
        <is>
          <t>DEF-03</t>
        </is>
      </c>
      <c r="B4" s="7" t="inlineStr">
        <is>
          <t>La foto de 2,5 MB no se rechaza: la interfaz la reduce y la guarda sin avisar del límite de 2 MB</t>
        </is>
      </c>
      <c r="C4" s="7" t="inlineStr">
        <is>
          <t>R4 · RF036</t>
        </is>
      </c>
      <c r="D4" s="7" t="inlineStr">
        <is>
          <t>Baja</t>
        </is>
      </c>
      <c r="E4" s="7" t="inlineStr">
        <is>
          <t>Baja</t>
        </is>
      </c>
      <c r="F4" s="7" t="inlineStr">
        <is>
          <t>CP-017</t>
        </is>
      </c>
      <c r="G4" s="7" t="inlineStr">
        <is>
          <t>Sebastián González González</t>
        </is>
      </c>
      <c r="H4" s="7" t="inlineStr">
        <is>
          <t>Esteban Palencia</t>
        </is>
      </c>
      <c r="I4" s="8" t="inlineStr"/>
      <c r="J4" s="8" t="inlineStr"/>
      <c r="K4" s="8" t="inlineStr"/>
      <c r="L4" s="8" t="inlineStr"/>
      <c r="M4" s="8" t="inlineStr"/>
      <c r="N4" s="8" t="inlineStr">
        <is>
          <t>EV-CP017-C1-01.png</t>
        </is>
      </c>
      <c r="O4" s="8" t="inlineStr"/>
    </row>
    <row r="5">
      <c r="A5" s="6" t="inlineStr">
        <is>
          <t>DEF-04</t>
        </is>
      </c>
      <c r="B5" s="7" t="inlineStr">
        <is>
          <t>El acceso se bloquea después de cinco intentos fallidos y no después de tres</t>
        </is>
      </c>
      <c r="C5" s="7" t="inlineStr">
        <is>
          <t>R2 · RRN01</t>
        </is>
      </c>
      <c r="D5" s="7" t="inlineStr">
        <is>
          <t>Baja</t>
        </is>
      </c>
      <c r="E5" s="7" t="inlineStr">
        <is>
          <t>Media</t>
        </is>
      </c>
      <c r="F5" s="7" t="inlineStr">
        <is>
          <t>CP-013</t>
        </is>
      </c>
      <c r="G5" s="7" t="inlineStr">
        <is>
          <t>Esteban Palencia</t>
        </is>
      </c>
      <c r="H5" s="7" t="inlineStr">
        <is>
          <t>Sebastián González González</t>
        </is>
      </c>
      <c r="I5" s="8" t="inlineStr"/>
      <c r="J5" s="8" t="inlineStr"/>
      <c r="K5" s="8" t="inlineStr"/>
      <c r="L5" s="8" t="inlineStr"/>
      <c r="M5" s="8" t="inlineStr"/>
      <c r="N5" s="8" t="inlineStr">
        <is>
          <t>EV-CP013-C1-01.png</t>
        </is>
      </c>
      <c r="O5" s="8" t="inlineStr"/>
    </row>
    <row r="6">
      <c r="A6" s="6" t="inlineStr">
        <is>
          <t>DEF-05</t>
        </is>
      </c>
      <c r="B6" s="7" t="inlineStr">
        <is>
          <t>El HTML escrito en las observaciones de una tutoría se ejecutaba al abrir ese día en el calendario</t>
        </is>
      </c>
      <c r="C6" s="7" t="inlineStr">
        <is>
          <t>R5 · RNF06</t>
        </is>
      </c>
      <c r="D6" s="7" t="inlineStr">
        <is>
          <t>Crítica</t>
        </is>
      </c>
      <c r="E6" s="7" t="inlineStr">
        <is>
          <t>Alta</t>
        </is>
      </c>
      <c r="F6" s="7" t="inlineStr">
        <is>
          <t>SE-02</t>
        </is>
      </c>
      <c r="G6" s="7" t="inlineStr">
        <is>
          <t>Sebastián González González</t>
        </is>
      </c>
      <c r="H6" s="7" t="inlineStr">
        <is>
          <t>Esteban Palencia</t>
        </is>
      </c>
      <c r="I6" s="8" t="inlineStr"/>
      <c r="J6" s="8" t="inlineStr"/>
      <c r="K6" s="8" t="inlineStr"/>
      <c r="L6" s="8" t="inlineStr"/>
      <c r="M6" s="8" t="inlineStr"/>
      <c r="N6" s="8" t="inlineStr">
        <is>
          <t>EV-DEF05-01.png</t>
        </is>
      </c>
      <c r="O6" s="8" t="inlineStr"/>
    </row>
    <row r="7">
      <c r="A7" s="6" t="inlineStr">
        <is>
          <t>DEF-06</t>
        </is>
      </c>
      <c r="B7" s="7" t="inlineStr">
        <is>
          <t>Una tutoría cancelada pasa a «completada» si el docente la marca como realizada por la API</t>
        </is>
      </c>
      <c r="C7" s="7" t="inlineStr">
        <is>
          <t>R6</t>
        </is>
      </c>
      <c r="D7" s="7" t="inlineStr">
        <is>
          <t>Media</t>
        </is>
      </c>
      <c r="E7" s="7" t="inlineStr">
        <is>
          <t>Media</t>
        </is>
      </c>
      <c r="F7" s="7" t="inlineStr">
        <is>
          <t>SE-02</t>
        </is>
      </c>
      <c r="G7" s="7" t="inlineStr">
        <is>
          <t>Sebastián González González</t>
        </is>
      </c>
      <c r="H7" s="7" t="inlineStr">
        <is>
          <t>Esteban Palencia</t>
        </is>
      </c>
      <c r="I7" s="8" t="inlineStr"/>
      <c r="J7" s="8" t="inlineStr"/>
      <c r="K7" s="8" t="inlineStr"/>
      <c r="L7" s="8" t="inlineStr"/>
      <c r="M7" s="8" t="inlineStr"/>
      <c r="N7" s="8" t="inlineStr">
        <is>
          <t>EV-DEF06-01.png</t>
        </is>
      </c>
      <c r="O7" s="8" t="inlineStr"/>
    </row>
    <row r="8">
      <c r="A8" s="6" t="inlineStr">
        <is>
          <t>DEF-07</t>
        </is>
      </c>
      <c r="B8" s="7" t="inlineStr">
        <is>
          <t>Las contraseñas se ven en claro en «Nuevo usuario» y «Editar usuario», y la primera trae «Cambiar123» escrita</t>
        </is>
      </c>
      <c r="C8" s="7" t="inlineStr">
        <is>
          <t>R7 · RNF05</t>
        </is>
      </c>
      <c r="D8" s="7" t="inlineStr">
        <is>
          <t>Media</t>
        </is>
      </c>
      <c r="E8" s="7" t="inlineStr">
        <is>
          <t>Alta</t>
        </is>
      </c>
      <c r="F8" s="7" t="inlineStr">
        <is>
          <t>SE-01</t>
        </is>
      </c>
      <c r="G8" s="7" t="inlineStr">
        <is>
          <t>Esteban Palencia</t>
        </is>
      </c>
      <c r="H8" s="7" t="inlineStr">
        <is>
          <t>Sebastián González González</t>
        </is>
      </c>
      <c r="I8" s="8" t="inlineStr"/>
      <c r="J8" s="8" t="inlineStr"/>
      <c r="K8" s="8" t="inlineStr"/>
      <c r="L8" s="8" t="inlineStr"/>
      <c r="M8" s="8" t="inlineStr"/>
      <c r="N8" s="8" t="inlineStr">
        <is>
          <t>EV-DEF07-01.png, EV-DEF07-02.png</t>
        </is>
      </c>
      <c r="O8" s="8" t="inlineStr"/>
    </row>
    <row r="9">
      <c r="A9" s="6" t="inlineStr">
        <is>
          <t>DEF-08</t>
        </is>
      </c>
      <c r="B9" s="7" t="inlineStr">
        <is>
          <t>La regla de 24 horas para cancelar se calcula con 5 horas de diferencia: con 26 h de margen dice que faltan 21</t>
        </is>
      </c>
      <c r="C9" s="7" t="inlineStr">
        <is>
          <t>R6</t>
        </is>
      </c>
      <c r="D9" s="7" t="inlineStr">
        <is>
          <t>Alta</t>
        </is>
      </c>
      <c r="E9" s="7" t="inlineStr">
        <is>
          <t>Alta</t>
        </is>
      </c>
      <c r="F9" s="7" t="inlineStr">
        <is>
          <t>CP-025</t>
        </is>
      </c>
      <c r="G9" s="7" t="inlineStr">
        <is>
          <t>Sebastián González González</t>
        </is>
      </c>
      <c r="H9" s="7" t="inlineStr">
        <is>
          <t>Esteban Palencia</t>
        </is>
      </c>
      <c r="I9" s="8" t="inlineStr"/>
      <c r="J9" s="8" t="inlineStr"/>
      <c r="K9" s="8" t="inlineStr"/>
      <c r="L9" s="8" t="inlineStr"/>
      <c r="M9" s="8" t="inlineStr"/>
      <c r="N9" s="8" t="inlineStr">
        <is>
          <t>EV-CP025-C1-01.png</t>
        </is>
      </c>
      <c r="O9" s="8" t="inlineStr"/>
    </row>
    <row r="10">
      <c r="A10" s="6" t="inlineStr">
        <is>
          <t>DEF-09</t>
        </is>
      </c>
      <c r="B10" s="7" t="inlineStr">
        <is>
          <t>Un estudiante queda con dos tutorías a la misma fecha y hora con docentes distintos</t>
        </is>
      </c>
      <c r="C10" s="7" t="inlineStr">
        <is>
          <t>R5</t>
        </is>
      </c>
      <c r="D10" s="7" t="inlineStr">
        <is>
          <t>Media</t>
        </is>
      </c>
      <c r="E10" s="7" t="inlineStr">
        <is>
          <t>Media</t>
        </is>
      </c>
      <c r="F10" s="7" t="inlineStr">
        <is>
          <t>CP-033</t>
        </is>
      </c>
      <c r="G10" s="7" t="inlineStr">
        <is>
          <t>Esteban Palencia</t>
        </is>
      </c>
      <c r="H10" s="7" t="inlineStr">
        <is>
          <t>Sebastián González González</t>
        </is>
      </c>
      <c r="I10" s="8" t="inlineStr"/>
      <c r="J10" s="8" t="inlineStr"/>
      <c r="K10" s="8" t="inlineStr"/>
      <c r="L10" s="8" t="inlineStr"/>
      <c r="M10" s="8" t="inlineStr"/>
      <c r="N10" s="8" t="inlineStr">
        <is>
          <t>EV-CP033-C1-01.png</t>
        </is>
      </c>
      <c r="O10" s="8" t="inlineStr"/>
    </row>
    <row r="11">
      <c r="A11" s="6" t="inlineStr">
        <is>
          <t>DEF-10</t>
        </is>
      </c>
      <c r="B11" s="7" t="inlineStr">
        <is>
          <t>La API guarda tutorías con fechas y horas que no existen («2027-13-45», «mañana», «25:99»)</t>
        </is>
      </c>
      <c r="C11" s="7" t="inlineStr">
        <is>
          <t>R5</t>
        </is>
      </c>
      <c r="D11" s="7" t="inlineStr">
        <is>
          <t>Media</t>
        </is>
      </c>
      <c r="E11" s="7" t="inlineStr">
        <is>
          <t>Baja</t>
        </is>
      </c>
      <c r="F11" s="7" t="inlineStr">
        <is>
          <t>SE-02</t>
        </is>
      </c>
      <c r="G11" s="7" t="inlineStr">
        <is>
          <t>Sebastián González González</t>
        </is>
      </c>
      <c r="H11" s="7" t="inlineStr">
        <is>
          <t>Esteban Palencia</t>
        </is>
      </c>
      <c r="I11" s="8" t="inlineStr"/>
      <c r="J11" s="8" t="inlineStr"/>
      <c r="K11" s="8" t="inlineStr"/>
      <c r="L11" s="8" t="inlineStr"/>
      <c r="M11" s="8" t="inlineStr"/>
      <c r="N11" s="8" t="inlineStr">
        <is>
          <t>EV-DEF10-01.png</t>
        </is>
      </c>
      <c r="O11" s="8" t="inlineStr"/>
    </row>
    <row r="12">
      <c r="A12" s="6" t="inlineStr">
        <is>
          <t>DEF-11</t>
        </is>
      </c>
      <c r="B12" s="7" t="inlineStr">
        <is>
          <t>El filtro «Activos» muestra cuentas inactivas y oculta a los estudiantes activos que están en alerta</t>
        </is>
      </c>
      <c r="C12" s="7" t="inlineStr">
        <is>
          <t>R7 · RF049</t>
        </is>
      </c>
      <c r="D12" s="7" t="inlineStr">
        <is>
          <t>Media</t>
        </is>
      </c>
      <c r="E12" s="7" t="inlineStr">
        <is>
          <t>Media</t>
        </is>
      </c>
      <c r="F12" s="7" t="inlineStr">
        <is>
          <t>CP-031</t>
        </is>
      </c>
      <c r="G12" s="7" t="inlineStr">
        <is>
          <t>Sebastián González González</t>
        </is>
      </c>
      <c r="H12" s="7" t="inlineStr">
        <is>
          <t>Esteban Palencia</t>
        </is>
      </c>
      <c r="I12" s="8" t="inlineStr"/>
      <c r="J12" s="8" t="inlineStr"/>
      <c r="K12" s="8" t="inlineStr"/>
      <c r="L12" s="8" t="inlineStr"/>
      <c r="M12" s="8" t="inlineStr"/>
      <c r="N12" s="8" t="inlineStr">
        <is>
          <t>EV-CP031-C1-01.png</t>
        </is>
      </c>
      <c r="O12" s="8" t="inlineStr"/>
    </row>
    <row r="13">
      <c r="A13" s="6" t="inlineStr">
        <is>
          <t>DEF-12</t>
        </is>
      </c>
      <c r="B13" s="7" t="inlineStr">
        <is>
          <t>La auditoría y el historial de notificaciones muestran la hora 5 horas adelantada</t>
        </is>
      </c>
      <c r="C13" s="7" t="inlineStr">
        <is>
          <t>R8</t>
        </is>
      </c>
      <c r="D13" s="7" t="inlineStr">
        <is>
          <t>Media</t>
        </is>
      </c>
      <c r="E13" s="7" t="inlineStr">
        <is>
          <t>Media</t>
        </is>
      </c>
      <c r="F13" s="7" t="inlineStr">
        <is>
          <t>CP-029</t>
        </is>
      </c>
      <c r="G13" s="7" t="inlineStr">
        <is>
          <t>Sebastián González González</t>
        </is>
      </c>
      <c r="H13" s="7" t="inlineStr">
        <is>
          <t>Esteban Palencia</t>
        </is>
      </c>
      <c r="I13" s="8" t="inlineStr"/>
      <c r="J13" s="8" t="inlineStr"/>
      <c r="K13" s="8" t="inlineStr"/>
      <c r="L13" s="8" t="inlineStr"/>
      <c r="M13" s="8" t="inlineStr"/>
      <c r="N13" s="8" t="inlineStr">
        <is>
          <t>EV-CP029-C1-01.png</t>
        </is>
      </c>
      <c r="O13" s="8" t="inlineStr"/>
    </row>
    <row r="14">
      <c r="A14" s="6" t="inlineStr">
        <is>
          <t>DEF-13</t>
        </is>
      </c>
      <c r="B14" s="7" t="inlineStr">
        <is>
          <t>Los mensajes emergentes se generan pero nunca se ven: el usuario no recibe confirmaciones ni errores</t>
        </is>
      </c>
      <c r="C14" s="7" t="inlineStr">
        <is>
          <t>RF028 · transversal</t>
        </is>
      </c>
      <c r="D14" s="7" t="inlineStr">
        <is>
          <t>Media</t>
        </is>
      </c>
      <c r="E14" s="7" t="inlineStr">
        <is>
          <t>Alta</t>
        </is>
      </c>
      <c r="F14" s="7" t="inlineStr">
        <is>
          <t>CP-016 · CP-024</t>
        </is>
      </c>
      <c r="G14" s="7" t="inlineStr">
        <is>
          <t>Sebastián González González</t>
        </is>
      </c>
      <c r="H14" s="7" t="inlineStr">
        <is>
          <t>Esteban Palencia</t>
        </is>
      </c>
      <c r="I14" s="8" t="inlineStr"/>
      <c r="J14" s="8" t="inlineStr"/>
      <c r="K14" s="8" t="inlineStr"/>
      <c r="L14" s="8" t="inlineStr"/>
      <c r="M14" s="8" t="inlineStr"/>
      <c r="N14" s="8" t="inlineStr">
        <is>
          <t>EV-CP016-C1-01.png, EV-CP024-C1-01.png</t>
        </is>
      </c>
      <c r="O14" s="8" t="inlineStr"/>
    </row>
    <row r="15">
      <c r="A15" s="6" t="inlineStr">
        <is>
          <t>DEF-14</t>
        </is>
      </c>
      <c r="B15" s="7" t="inlineStr">
        <is>
          <t>El estudiante que deja vacío el promedio queda con 0 y recibe alertas académicas, aunque su panel dice «Sin alertas»</t>
        </is>
      </c>
      <c r="C15" s="7" t="inlineStr">
        <is>
          <t>R4 · RRN07</t>
        </is>
      </c>
      <c r="D15" s="7" t="inlineStr">
        <is>
          <t>Media</t>
        </is>
      </c>
      <c r="E15" s="7" t="inlineStr">
        <is>
          <t>Media</t>
        </is>
      </c>
      <c r="F15" s="7" t="inlineStr">
        <is>
          <t>SE-01</t>
        </is>
      </c>
      <c r="G15" s="7" t="inlineStr">
        <is>
          <t>Esteban Palencia</t>
        </is>
      </c>
      <c r="H15" s="7" t="inlineStr">
        <is>
          <t>Sebastián González González</t>
        </is>
      </c>
      <c r="I15" s="8" t="inlineStr"/>
      <c r="J15" s="8" t="inlineStr"/>
      <c r="K15" s="8" t="inlineStr"/>
      <c r="L15" s="8" t="inlineStr"/>
      <c r="M15" s="8" t="inlineStr"/>
      <c r="N15" s="8" t="inlineStr">
        <is>
          <t>EV-DEF14-01.png, EV-DEF14-02.png</t>
        </is>
      </c>
      <c r="O15" s="8" t="inlineStr"/>
    </row>
  </sheetData>
  <dataValidations count="1">
    <dataValidation sqref="O2:O15" showDropDown="0" showInputMessage="0" showErrorMessage="1" allowBlank="1" errorTitle="Estado" error="Escoja una opción de la lista: Abierto, Verificado, No reproducido." type="list" errorStyle="stop">
      <formula1>"Abierto,Verificado,No reproducido"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12" customWidth="1" min="4" max="4"/>
    <col width="18" customWidth="1" min="5" max="5"/>
    <col width="70" customWidth="1" min="6" max="6"/>
  </cols>
  <sheetData>
    <row r="1" ht="32" customHeight="1">
      <c r="A1" s="4" t="inlineStr">
        <is>
          <t>Defecto</t>
        </is>
      </c>
      <c r="B1" s="4" t="inlineStr">
        <is>
          <t>Reportado por</t>
        </is>
      </c>
      <c r="C1" s="4" t="inlineStr">
        <is>
          <t>Reproducido por (llena esta fila)</t>
        </is>
      </c>
      <c r="D1" s="5" t="inlineStr">
        <is>
          <t>Fecha</t>
        </is>
      </c>
      <c r="E1" s="5" t="inlineStr">
        <is>
          <t>Resultado</t>
        </is>
      </c>
      <c r="F1" s="5" t="inlineStr">
        <is>
          <t>Qué faltó o qué se observó</t>
        </is>
      </c>
    </row>
    <row r="2">
      <c r="A2" s="6" t="inlineStr">
        <is>
          <t>DEF-01</t>
        </is>
      </c>
      <c r="B2" s="7" t="inlineStr">
        <is>
          <t>Esteban Palencia</t>
        </is>
      </c>
      <c r="C2" s="7" t="inlineStr">
        <is>
          <t>Sebastián González González</t>
        </is>
      </c>
      <c r="D2" s="8" t="inlineStr"/>
      <c r="E2" s="8" t="inlineStr"/>
      <c r="F2" s="8" t="inlineStr"/>
    </row>
    <row r="3">
      <c r="A3" s="6" t="inlineStr">
        <is>
          <t>DEF-02</t>
        </is>
      </c>
      <c r="B3" s="7" t="inlineStr">
        <is>
          <t>Esteban Palencia</t>
        </is>
      </c>
      <c r="C3" s="7" t="inlineStr">
        <is>
          <t>Sebastián González González</t>
        </is>
      </c>
      <c r="D3" s="8" t="inlineStr"/>
      <c r="E3" s="8" t="inlineStr"/>
      <c r="F3" s="8" t="inlineStr"/>
    </row>
    <row r="4">
      <c r="A4" s="6" t="inlineStr">
        <is>
          <t>DEF-03</t>
        </is>
      </c>
      <c r="B4" s="7" t="inlineStr">
        <is>
          <t>Sebastián González González</t>
        </is>
      </c>
      <c r="C4" s="7" t="inlineStr">
        <is>
          <t>Esteban Palencia</t>
        </is>
      </c>
      <c r="D4" s="8" t="inlineStr"/>
      <c r="E4" s="8" t="inlineStr"/>
      <c r="F4" s="8" t="inlineStr"/>
    </row>
    <row r="5">
      <c r="A5" s="6" t="inlineStr">
        <is>
          <t>DEF-04</t>
        </is>
      </c>
      <c r="B5" s="7" t="inlineStr">
        <is>
          <t>Esteban Palencia</t>
        </is>
      </c>
      <c r="C5" s="7" t="inlineStr">
        <is>
          <t>Sebastián González González</t>
        </is>
      </c>
      <c r="D5" s="8" t="inlineStr"/>
      <c r="E5" s="8" t="inlineStr"/>
      <c r="F5" s="8" t="inlineStr"/>
    </row>
    <row r="6">
      <c r="A6" s="6" t="inlineStr">
        <is>
          <t>DEF-05</t>
        </is>
      </c>
      <c r="B6" s="7" t="inlineStr">
        <is>
          <t>Sebastián González González</t>
        </is>
      </c>
      <c r="C6" s="7" t="inlineStr">
        <is>
          <t>Esteban Palencia</t>
        </is>
      </c>
      <c r="D6" s="8" t="inlineStr"/>
      <c r="E6" s="8" t="inlineStr"/>
      <c r="F6" s="8" t="inlineStr"/>
    </row>
    <row r="7">
      <c r="A7" s="6" t="inlineStr">
        <is>
          <t>DEF-06</t>
        </is>
      </c>
      <c r="B7" s="7" t="inlineStr">
        <is>
          <t>Sebastián González González</t>
        </is>
      </c>
      <c r="C7" s="7" t="inlineStr">
        <is>
          <t>Esteban Palencia</t>
        </is>
      </c>
      <c r="D7" s="8" t="inlineStr"/>
      <c r="E7" s="8" t="inlineStr"/>
      <c r="F7" s="8" t="inlineStr"/>
    </row>
    <row r="8">
      <c r="A8" s="6" t="inlineStr">
        <is>
          <t>DEF-07</t>
        </is>
      </c>
      <c r="B8" s="7" t="inlineStr">
        <is>
          <t>Esteban Palencia</t>
        </is>
      </c>
      <c r="C8" s="7" t="inlineStr">
        <is>
          <t>Sebastián González González</t>
        </is>
      </c>
      <c r="D8" s="8" t="inlineStr"/>
      <c r="E8" s="8" t="inlineStr"/>
      <c r="F8" s="8" t="inlineStr"/>
    </row>
    <row r="9">
      <c r="A9" s="6" t="inlineStr">
        <is>
          <t>DEF-08</t>
        </is>
      </c>
      <c r="B9" s="7" t="inlineStr">
        <is>
          <t>Sebastián González González</t>
        </is>
      </c>
      <c r="C9" s="7" t="inlineStr">
        <is>
          <t>Esteban Palencia</t>
        </is>
      </c>
      <c r="D9" s="8" t="inlineStr"/>
      <c r="E9" s="8" t="inlineStr"/>
      <c r="F9" s="8" t="inlineStr"/>
    </row>
    <row r="10">
      <c r="A10" s="6" t="inlineStr">
        <is>
          <t>DEF-09</t>
        </is>
      </c>
      <c r="B10" s="7" t="inlineStr">
        <is>
          <t>Esteban Palencia</t>
        </is>
      </c>
      <c r="C10" s="7" t="inlineStr">
        <is>
          <t>Sebastián González González</t>
        </is>
      </c>
      <c r="D10" s="8" t="inlineStr"/>
      <c r="E10" s="8" t="inlineStr"/>
      <c r="F10" s="8" t="inlineStr"/>
    </row>
    <row r="11">
      <c r="A11" s="6" t="inlineStr">
        <is>
          <t>DEF-10</t>
        </is>
      </c>
      <c r="B11" s="7" t="inlineStr">
        <is>
          <t>Sebastián González González</t>
        </is>
      </c>
      <c r="C11" s="7" t="inlineStr">
        <is>
          <t>Esteban Palencia</t>
        </is>
      </c>
      <c r="D11" s="8" t="inlineStr"/>
      <c r="E11" s="8" t="inlineStr"/>
      <c r="F11" s="8" t="inlineStr"/>
    </row>
    <row r="12">
      <c r="A12" s="6" t="inlineStr">
        <is>
          <t>DEF-11</t>
        </is>
      </c>
      <c r="B12" s="7" t="inlineStr">
        <is>
          <t>Sebastián González González</t>
        </is>
      </c>
      <c r="C12" s="7" t="inlineStr">
        <is>
          <t>Esteban Palencia</t>
        </is>
      </c>
      <c r="D12" s="8" t="inlineStr"/>
      <c r="E12" s="8" t="inlineStr"/>
      <c r="F12" s="8" t="inlineStr"/>
    </row>
    <row r="13">
      <c r="A13" s="6" t="inlineStr">
        <is>
          <t>DEF-12</t>
        </is>
      </c>
      <c r="B13" s="7" t="inlineStr">
        <is>
          <t>Sebastián González González</t>
        </is>
      </c>
      <c r="C13" s="7" t="inlineStr">
        <is>
          <t>Esteban Palencia</t>
        </is>
      </c>
      <c r="D13" s="8" t="inlineStr"/>
      <c r="E13" s="8" t="inlineStr"/>
      <c r="F13" s="8" t="inlineStr"/>
    </row>
    <row r="14">
      <c r="A14" s="6" t="inlineStr">
        <is>
          <t>DEF-13</t>
        </is>
      </c>
      <c r="B14" s="7" t="inlineStr">
        <is>
          <t>Sebastián González González</t>
        </is>
      </c>
      <c r="C14" s="7" t="inlineStr">
        <is>
          <t>Esteban Palencia</t>
        </is>
      </c>
      <c r="D14" s="8" t="inlineStr"/>
      <c r="E14" s="8" t="inlineStr"/>
      <c r="F14" s="8" t="inlineStr"/>
    </row>
    <row r="15">
      <c r="A15" s="6" t="inlineStr">
        <is>
          <t>DEF-14</t>
        </is>
      </c>
      <c r="B15" s="7" t="inlineStr">
        <is>
          <t>Esteban Palencia</t>
        </is>
      </c>
      <c r="C15" s="7" t="inlineStr">
        <is>
          <t>Sebastián González González</t>
        </is>
      </c>
      <c r="D15" s="8" t="inlineStr"/>
      <c r="E15" s="8" t="inlineStr"/>
      <c r="F15" s="8" t="inlineStr"/>
    </row>
  </sheetData>
  <dataValidations count="1">
    <dataValidation sqref="E2:E15" showDropDown="0" showInputMessage="0" showErrorMessage="1" allowBlank="1" errorTitle="Resultado" error="Escoja una opción de la lista: Reproducido, Con ayuda, No reproducido." type="list" errorStyle="stop">
      <formula1>"Reproducido,Con ayuda,No reproducido"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0" customWidth="1" min="3" max="3"/>
    <col width="12" customWidth="1" min="4" max="4"/>
    <col width="10" customWidth="1" min="5" max="5"/>
    <col width="22" customWidth="1" min="6" max="6"/>
    <col width="40" customWidth="1" min="7" max="7"/>
    <col width="26" customWidth="1" min="8" max="8"/>
  </cols>
  <sheetData>
    <row r="1" ht="32" customHeight="1">
      <c r="A1" s="4" t="inlineStr">
        <is>
          <t>Sesión</t>
        </is>
      </c>
      <c r="B1" s="4" t="inlineStr">
        <is>
          <t>Integrante</t>
        </is>
      </c>
      <c r="C1" s="4" t="inlineStr">
        <is>
          <t>Misión</t>
        </is>
      </c>
      <c r="D1" s="5" t="inlineStr">
        <is>
          <t>Fecha</t>
        </is>
      </c>
      <c r="E1" s="5" t="inlineStr">
        <is>
          <t>Duración (min)</t>
        </is>
      </c>
      <c r="F1" s="5" t="inlineStr">
        <is>
          <t>Defectos encontrados</t>
        </is>
      </c>
      <c r="G1" s="5" t="inlineStr">
        <is>
          <t>Preguntas y riesgos</t>
        </is>
      </c>
      <c r="H1" s="5" t="inlineStr">
        <is>
          <t>Distribución del tiempo</t>
        </is>
      </c>
    </row>
    <row r="2">
      <c r="A2" s="6" t="inlineStr">
        <is>
          <t>SE-01</t>
        </is>
      </c>
      <c r="B2" s="7" t="inlineStr">
        <is>
          <t>Esteban Palencia</t>
        </is>
      </c>
      <c r="C2" s="7" t="inlineStr">
        <is>
          <t>Recorrer los requisitos y reglas de prioridad alta (RNF02, RNF05, RRN07) para descubrir dónde la aplicación hace algo distinto de lo que promete el documento de requisitos.</t>
        </is>
      </c>
      <c r="D2" s="8" t="inlineStr"/>
      <c r="E2" s="8" t="inlineStr"/>
      <c r="F2" s="8" t="inlineStr"/>
      <c r="G2" s="8" t="inlineStr"/>
      <c r="H2" s="8" t="inlineStr"/>
    </row>
    <row r="3">
      <c r="A3" s="6" t="inlineStr">
        <is>
          <t>SE-02</t>
        </is>
      </c>
      <c r="B3" s="7" t="inlineStr">
        <is>
          <t>Sebastián González González</t>
        </is>
      </c>
      <c r="C3" s="7" t="inlineStr">
        <is>
          <t>Explorar lo que la interfaz no deja hacer, enviando las mismas peticiones desde la consola, y lo que se escribe en un campo y después se muestra en otra pantalla, para descubrir validaciones que solo existen en el navegador.</t>
        </is>
      </c>
      <c r="D3" s="8" t="inlineStr"/>
      <c r="E3" s="8" t="inlineStr"/>
      <c r="F3" s="8" t="inlineStr"/>
      <c r="G3" s="8" t="inlineStr"/>
      <c r="H3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5" customWidth="1" min="3" max="3"/>
    <col width="55" customWidth="1" min="4" max="4"/>
  </cols>
  <sheetData>
    <row r="1" ht="32" customHeight="1">
      <c r="A1" s="4" t="inlineStr">
        <is>
          <t>Sesión</t>
        </is>
      </c>
      <c r="B1" s="5" t="inlineStr">
        <is>
          <t>Minuto</t>
        </is>
      </c>
      <c r="C1" s="5" t="inlineStr">
        <is>
          <t>Qué hice</t>
        </is>
      </c>
      <c r="D1" s="5" t="inlineStr">
        <is>
          <t>Qué vi</t>
        </is>
      </c>
    </row>
    <row r="2">
      <c r="A2" s="6" t="inlineStr">
        <is>
          <t>SE-01</t>
        </is>
      </c>
      <c r="B2" s="8" t="inlineStr"/>
      <c r="C2" s="8" t="inlineStr"/>
      <c r="D2" s="8" t="inlineStr"/>
    </row>
    <row r="3">
      <c r="A3" s="6" t="inlineStr">
        <is>
          <t>SE-01</t>
        </is>
      </c>
      <c r="B3" s="8" t="inlineStr"/>
      <c r="C3" s="8" t="inlineStr"/>
      <c r="D3" s="8" t="inlineStr"/>
    </row>
    <row r="4">
      <c r="A4" s="6" t="inlineStr">
        <is>
          <t>SE-01</t>
        </is>
      </c>
      <c r="B4" s="8" t="inlineStr"/>
      <c r="C4" s="8" t="inlineStr"/>
      <c r="D4" s="8" t="inlineStr"/>
    </row>
    <row r="5">
      <c r="A5" s="6" t="inlineStr">
        <is>
          <t>SE-01</t>
        </is>
      </c>
      <c r="B5" s="8" t="inlineStr"/>
      <c r="C5" s="8" t="inlineStr"/>
      <c r="D5" s="8" t="inlineStr"/>
    </row>
    <row r="6">
      <c r="A6" s="6" t="inlineStr">
        <is>
          <t>SE-01</t>
        </is>
      </c>
      <c r="B6" s="8" t="inlineStr"/>
      <c r="C6" s="8" t="inlineStr"/>
      <c r="D6" s="8" t="inlineStr"/>
    </row>
    <row r="7">
      <c r="A7" s="6" t="inlineStr">
        <is>
          <t>SE-01</t>
        </is>
      </c>
      <c r="B7" s="8" t="inlineStr"/>
      <c r="C7" s="8" t="inlineStr"/>
      <c r="D7" s="8" t="inlineStr"/>
    </row>
    <row r="8">
      <c r="A8" s="6" t="inlineStr">
        <is>
          <t>SE-01</t>
        </is>
      </c>
      <c r="B8" s="8" t="inlineStr"/>
      <c r="C8" s="8" t="inlineStr"/>
      <c r="D8" s="8" t="inlineStr"/>
    </row>
    <row r="9">
      <c r="A9" s="6" t="inlineStr">
        <is>
          <t>SE-01</t>
        </is>
      </c>
      <c r="B9" s="8" t="inlineStr"/>
      <c r="C9" s="8" t="inlineStr"/>
      <c r="D9" s="8" t="inlineStr"/>
    </row>
    <row r="10">
      <c r="A10" s="6" t="inlineStr">
        <is>
          <t>SE-01</t>
        </is>
      </c>
      <c r="B10" s="8" t="inlineStr"/>
      <c r="C10" s="8" t="inlineStr"/>
      <c r="D10" s="8" t="inlineStr"/>
    </row>
    <row r="11">
      <c r="A11" s="6" t="inlineStr">
        <is>
          <t>SE-01</t>
        </is>
      </c>
      <c r="B11" s="8" t="inlineStr"/>
      <c r="C11" s="8" t="inlineStr"/>
      <c r="D11" s="8" t="inlineStr"/>
    </row>
    <row r="12">
      <c r="A12" s="6" t="inlineStr">
        <is>
          <t>SE-01</t>
        </is>
      </c>
      <c r="B12" s="8" t="inlineStr"/>
      <c r="C12" s="8" t="inlineStr"/>
      <c r="D12" s="8" t="inlineStr"/>
    </row>
    <row r="13">
      <c r="A13" s="6" t="inlineStr">
        <is>
          <t>SE-01</t>
        </is>
      </c>
      <c r="B13" s="8" t="inlineStr"/>
      <c r="C13" s="8" t="inlineStr"/>
      <c r="D13" s="8" t="inlineStr"/>
    </row>
    <row r="14">
      <c r="A14" s="6" t="inlineStr">
        <is>
          <t>SE-01</t>
        </is>
      </c>
      <c r="B14" s="8" t="inlineStr"/>
      <c r="C14" s="8" t="inlineStr"/>
      <c r="D14" s="8" t="inlineStr"/>
    </row>
    <row r="15">
      <c r="A15" s="6" t="inlineStr">
        <is>
          <t>SE-01</t>
        </is>
      </c>
      <c r="B15" s="8" t="inlineStr"/>
      <c r="C15" s="8" t="inlineStr"/>
      <c r="D15" s="8" t="inlineStr"/>
    </row>
    <row r="16">
      <c r="A16" s="6" t="inlineStr">
        <is>
          <t>SE-01</t>
        </is>
      </c>
      <c r="B16" s="8" t="inlineStr"/>
      <c r="C16" s="8" t="inlineStr"/>
      <c r="D16" s="8" t="inlineStr"/>
    </row>
    <row r="17">
      <c r="A17" s="6" t="inlineStr">
        <is>
          <t>SE-01</t>
        </is>
      </c>
      <c r="B17" s="8" t="inlineStr"/>
      <c r="C17" s="8" t="inlineStr"/>
      <c r="D17" s="8" t="inlineStr"/>
    </row>
    <row r="18">
      <c r="A18" s="6" t="inlineStr">
        <is>
          <t>SE-01</t>
        </is>
      </c>
      <c r="B18" s="8" t="inlineStr"/>
      <c r="C18" s="8" t="inlineStr"/>
      <c r="D18" s="8" t="inlineStr"/>
    </row>
    <row r="19">
      <c r="A19" s="6" t="inlineStr">
        <is>
          <t>SE-01</t>
        </is>
      </c>
      <c r="B19" s="8" t="inlineStr"/>
      <c r="C19" s="8" t="inlineStr"/>
      <c r="D19" s="8" t="inlineStr"/>
    </row>
    <row r="20">
      <c r="A20" s="6" t="inlineStr">
        <is>
          <t>SE-01</t>
        </is>
      </c>
      <c r="B20" s="8" t="inlineStr"/>
      <c r="C20" s="8" t="inlineStr"/>
      <c r="D20" s="8" t="inlineStr"/>
    </row>
    <row r="21">
      <c r="A21" s="6" t="inlineStr">
        <is>
          <t>SE-01</t>
        </is>
      </c>
      <c r="B21" s="8" t="inlineStr"/>
      <c r="C21" s="8" t="inlineStr"/>
      <c r="D21" s="8" t="inlineStr"/>
    </row>
    <row r="22">
      <c r="A22" s="6" t="inlineStr">
        <is>
          <t>SE-02</t>
        </is>
      </c>
      <c r="B22" s="8" t="inlineStr"/>
      <c r="C22" s="8" t="inlineStr"/>
      <c r="D22" s="8" t="inlineStr"/>
    </row>
    <row r="23">
      <c r="A23" s="6" t="inlineStr">
        <is>
          <t>SE-02</t>
        </is>
      </c>
      <c r="B23" s="8" t="inlineStr"/>
      <c r="C23" s="8" t="inlineStr"/>
      <c r="D23" s="8" t="inlineStr"/>
    </row>
    <row r="24">
      <c r="A24" s="6" t="inlineStr">
        <is>
          <t>SE-02</t>
        </is>
      </c>
      <c r="B24" s="8" t="inlineStr"/>
      <c r="C24" s="8" t="inlineStr"/>
      <c r="D24" s="8" t="inlineStr"/>
    </row>
    <row r="25">
      <c r="A25" s="6" t="inlineStr">
        <is>
          <t>SE-02</t>
        </is>
      </c>
      <c r="B25" s="8" t="inlineStr"/>
      <c r="C25" s="8" t="inlineStr"/>
      <c r="D25" s="8" t="inlineStr"/>
    </row>
    <row r="26">
      <c r="A26" s="6" t="inlineStr">
        <is>
          <t>SE-02</t>
        </is>
      </c>
      <c r="B26" s="8" t="inlineStr"/>
      <c r="C26" s="8" t="inlineStr"/>
      <c r="D26" s="8" t="inlineStr"/>
    </row>
    <row r="27">
      <c r="A27" s="6" t="inlineStr">
        <is>
          <t>SE-02</t>
        </is>
      </c>
      <c r="B27" s="8" t="inlineStr"/>
      <c r="C27" s="8" t="inlineStr"/>
      <c r="D27" s="8" t="inlineStr"/>
    </row>
    <row r="28">
      <c r="A28" s="6" t="inlineStr">
        <is>
          <t>SE-02</t>
        </is>
      </c>
      <c r="B28" s="8" t="inlineStr"/>
      <c r="C28" s="8" t="inlineStr"/>
      <c r="D28" s="8" t="inlineStr"/>
    </row>
    <row r="29">
      <c r="A29" s="6" t="inlineStr">
        <is>
          <t>SE-02</t>
        </is>
      </c>
      <c r="B29" s="8" t="inlineStr"/>
      <c r="C29" s="8" t="inlineStr"/>
      <c r="D29" s="8" t="inlineStr"/>
    </row>
    <row r="30">
      <c r="A30" s="6" t="inlineStr">
        <is>
          <t>SE-02</t>
        </is>
      </c>
      <c r="B30" s="8" t="inlineStr"/>
      <c r="C30" s="8" t="inlineStr"/>
      <c r="D30" s="8" t="inlineStr"/>
    </row>
    <row r="31">
      <c r="A31" s="6" t="inlineStr">
        <is>
          <t>SE-02</t>
        </is>
      </c>
      <c r="B31" s="8" t="inlineStr"/>
      <c r="C31" s="8" t="inlineStr"/>
      <c r="D31" s="8" t="inlineStr"/>
    </row>
    <row r="32">
      <c r="A32" s="6" t="inlineStr">
        <is>
          <t>SE-02</t>
        </is>
      </c>
      <c r="B32" s="8" t="inlineStr"/>
      <c r="C32" s="8" t="inlineStr"/>
      <c r="D32" s="8" t="inlineStr"/>
    </row>
    <row r="33">
      <c r="A33" s="6" t="inlineStr">
        <is>
          <t>SE-02</t>
        </is>
      </c>
      <c r="B33" s="8" t="inlineStr"/>
      <c r="C33" s="8" t="inlineStr"/>
      <c r="D33" s="8" t="inlineStr"/>
    </row>
    <row r="34">
      <c r="A34" s="6" t="inlineStr">
        <is>
          <t>SE-02</t>
        </is>
      </c>
      <c r="B34" s="8" t="inlineStr"/>
      <c r="C34" s="8" t="inlineStr"/>
      <c r="D34" s="8" t="inlineStr"/>
    </row>
    <row r="35">
      <c r="A35" s="6" t="inlineStr">
        <is>
          <t>SE-02</t>
        </is>
      </c>
      <c r="B35" s="8" t="inlineStr"/>
      <c r="C35" s="8" t="inlineStr"/>
      <c r="D35" s="8" t="inlineStr"/>
    </row>
    <row r="36">
      <c r="A36" s="6" t="inlineStr">
        <is>
          <t>SE-02</t>
        </is>
      </c>
      <c r="B36" s="8" t="inlineStr"/>
      <c r="C36" s="8" t="inlineStr"/>
      <c r="D36" s="8" t="inlineStr"/>
    </row>
    <row r="37">
      <c r="A37" s="6" t="inlineStr">
        <is>
          <t>SE-02</t>
        </is>
      </c>
      <c r="B37" s="8" t="inlineStr"/>
      <c r="C37" s="8" t="inlineStr"/>
      <c r="D37" s="8" t="inlineStr"/>
    </row>
    <row r="38">
      <c r="A38" s="6" t="inlineStr">
        <is>
          <t>SE-02</t>
        </is>
      </c>
      <c r="B38" s="8" t="inlineStr"/>
      <c r="C38" s="8" t="inlineStr"/>
      <c r="D38" s="8" t="inlineStr"/>
    </row>
    <row r="39">
      <c r="A39" s="6" t="inlineStr">
        <is>
          <t>SE-02</t>
        </is>
      </c>
      <c r="B39" s="8" t="inlineStr"/>
      <c r="C39" s="8" t="inlineStr"/>
      <c r="D39" s="8" t="inlineStr"/>
    </row>
    <row r="40">
      <c r="A40" s="6" t="inlineStr">
        <is>
          <t>SE-02</t>
        </is>
      </c>
      <c r="B40" s="8" t="inlineStr"/>
      <c r="C40" s="8" t="inlineStr"/>
      <c r="D40" s="8" t="inlineStr"/>
    </row>
    <row r="41">
      <c r="A41" s="6" t="inlineStr">
        <is>
          <t>SE-02</t>
        </is>
      </c>
      <c r="B41" s="8" t="inlineStr"/>
      <c r="C41" s="8" t="inlineStr"/>
      <c r="D41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 ht="32" customHeight="1">
      <c r="A1" s="4" t="inlineStr">
        <is>
          <t>Métrica</t>
        </is>
      </c>
      <c r="B1" s="4" t="inlineStr">
        <is>
          <t>Valor</t>
        </is>
      </c>
    </row>
    <row r="2">
      <c r="A2" s="6" t="inlineStr">
        <is>
          <t>Ciclo 1 · aprobados</t>
        </is>
      </c>
      <c r="B2" s="7">
        <f>COUNTIFS('Registro de ejecución'!B:B,1,'Registro de ejecución'!I:I,"Aprobado")</f>
        <v/>
      </c>
    </row>
    <row r="3">
      <c r="A3" s="6" t="inlineStr">
        <is>
          <t>Ciclo 1 · fallidos</t>
        </is>
      </c>
      <c r="B3" s="7">
        <f>COUNTIFS('Registro de ejecución'!B:B,1,'Registro de ejecución'!I:I,"Fallido")</f>
        <v/>
      </c>
    </row>
    <row r="4">
      <c r="A4" s="6" t="inlineStr">
        <is>
          <t>Ciclo 1 · bloqueados</t>
        </is>
      </c>
      <c r="B4" s="7">
        <f>COUNTIFS('Registro de ejecución'!B:B,1,'Registro de ejecución'!I:I,"Bloqueado")</f>
        <v/>
      </c>
    </row>
    <row r="5">
      <c r="A5" s="6" t="inlineStr">
        <is>
          <t>Ciclo 1 · sin registrar</t>
        </is>
      </c>
      <c r="B5" s="7">
        <f>COUNTIFS('Registro de ejecución'!B:B,1,'Registro de ejecución'!I:I,"")</f>
        <v/>
      </c>
    </row>
    <row r="6">
      <c r="A6" s="6" t="inlineStr">
        <is>
          <t>Ciclo 2 (Firefox) · aprobados</t>
        </is>
      </c>
      <c r="B6" s="7">
        <f>COUNTIFS('Registro de ejecución'!B:B,2,'Registro de ejecución'!I:I,"Aprobado")</f>
        <v/>
      </c>
    </row>
    <row r="7">
      <c r="A7" s="6" t="inlineStr">
        <is>
          <t>Ciclo 2 (Firefox) · fallidos</t>
        </is>
      </c>
      <c r="B7" s="7">
        <f>COUNTIFS('Registro de ejecución'!B:B,2,'Registro de ejecución'!I:I,"Fallido")</f>
        <v/>
      </c>
    </row>
    <row r="8">
      <c r="A8" s="6" t="inlineStr">
        <is>
          <t>Ciclo 2 (Firefox) · bloqueados</t>
        </is>
      </c>
      <c r="B8" s="7">
        <f>COUNTIFS('Registro de ejecución'!B:B,2,'Registro de ejecución'!I:I,"Bloqueado")</f>
        <v/>
      </c>
    </row>
    <row r="9">
      <c r="A9" s="6" t="inlineStr">
        <is>
          <t>Ciclo 2 (Firefox) · sin registrar</t>
        </is>
      </c>
      <c r="B9" s="7">
        <f>COUNTIFS('Registro de ejecución'!B:B,2,'Registro de ejecución'!I:I,"")</f>
        <v/>
      </c>
    </row>
    <row r="10">
      <c r="A10" s="6" t="inlineStr">
        <is>
          <t>Defectos con datos de Railway (fecha y resultado real)</t>
        </is>
      </c>
      <c r="B10" s="7">
        <f>COUNTIFS(Defectos!I2:I15,"&lt;&gt;",Defectos!M2:M15,"&lt;&gt;")</f>
        <v/>
      </c>
    </row>
    <row r="11">
      <c r="A11" s="6" t="inlineStr">
        <is>
          <t>Reproducciones cruzadas registradas</t>
        </is>
      </c>
      <c r="B11" s="7">
        <f>COUNTA('Reproducción cruzada'!E2:E15)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2026-10-08T00:13:37Z</dcterms:created>
  <dcterms:modified xmlns:dcterms="http://purl.org/dc/terms/" xmlns:xsi="http://www.w3.org/2001/XMLSchema-instance" xsi:type="dcterms:W3CDTF">2026-10-08T00:13:37Z</dcterms:modified>
</cp:coreProperties>
</file>