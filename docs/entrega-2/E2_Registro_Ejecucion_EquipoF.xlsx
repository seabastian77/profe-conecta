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ada" sheetId="1" state="visible" r:id="rId1"/>
    <sheet xmlns:r="http://schemas.openxmlformats.org/officeDocument/2006/relationships" name="Registro de ejecución" sheetId="2" state="visible" r:id="rId2"/>
    <sheet xmlns:r="http://schemas.openxmlformats.org/officeDocument/2006/relationships" name="Defectos" sheetId="3" state="visible" r:id="rId3"/>
    <sheet xmlns:r="http://schemas.openxmlformats.org/officeDocument/2006/relationships" name="Reproducción cruzada" sheetId="4" state="visible" r:id="rId4"/>
    <sheet xmlns:r="http://schemas.openxmlformats.org/officeDocument/2006/relationships" name="Métricas" sheetId="5" state="visible" r:id="rId5"/>
  </sheets>
  <definedNames>
    <definedName name="_xlnm._FilterDatabase" localSheetId="1" hidden="1">'Registro de ejecución'!$A$1:$H$51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color rgb="000F766E"/>
      <sz val="14"/>
    </font>
  </fonts>
  <fills count="6">
    <fill>
      <patternFill/>
    </fill>
    <fill>
      <patternFill patternType="gray125"/>
    </fill>
    <fill>
      <patternFill patternType="solid">
        <fgColor rgb="000F766E"/>
      </patternFill>
    </fill>
    <fill>
      <patternFill patternType="solid">
        <fgColor rgb="00DCFCE7"/>
      </patternFill>
    </fill>
    <fill>
      <patternFill patternType="solid">
        <fgColor rgb="00FEE2E2"/>
      </patternFill>
    </fill>
    <fill>
      <patternFill patternType="solid">
        <fgColor rgb="00FEF9C3"/>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0" fontId="0" fillId="0" borderId="0" applyAlignment="1" pivotButton="0" quotePrefix="0" xfId="0">
      <alignment wrapText="1"/>
    </xf>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1" fillId="2"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Defectos por severidad</a:t>
            </a:r>
          </a:p>
        </rich>
      </tx>
    </title>
    <plotArea>
      <barChart>
        <barDir val="col"/>
        <grouping val="clustered"/>
        <ser>
          <idx val="0"/>
          <order val="0"/>
          <tx>
            <strRef>
              <f>'Métricas'!B15</f>
            </strRef>
          </tx>
          <spPr>
            <a:ln xmlns:a="http://schemas.openxmlformats.org/drawingml/2006/main">
              <a:prstDash val="solid"/>
            </a:ln>
          </spPr>
          <cat>
            <numRef>
              <f>'Métricas'!$A$16:$A$19</f>
            </numRef>
          </cat>
          <val>
            <numRef>
              <f>'Métricas'!$B$16:$B$19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Defectos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1</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s="1" t="inlineStr">
        <is>
          <t>ConectaProfe — Registro de ejecución (Entregable 2)</t>
        </is>
      </c>
    </row>
    <row r="3">
      <c r="A3" s="2" t="inlineStr">
        <is>
          <t>Curso</t>
        </is>
      </c>
      <c r="B3" s="3" t="inlineStr">
        <is>
          <t>Verificación y Validación de Software (IS019 · IS071 · TDS004)</t>
        </is>
      </c>
    </row>
    <row r="4">
      <c r="A4" s="2" t="inlineStr">
        <is>
          <t>Equipo</t>
        </is>
      </c>
      <c r="B4" s="3" t="inlineStr">
        <is>
          <t>F</t>
        </is>
      </c>
    </row>
    <row r="5">
      <c r="A5" s="2" t="inlineStr">
        <is>
          <t>Integrantes</t>
        </is>
      </c>
      <c r="B5" s="3" t="inlineStr">
        <is>
          <t>Sebastián González González · Esteban Palencia</t>
        </is>
      </c>
    </row>
    <row r="6">
      <c r="A6" s="2" t="inlineStr">
        <is>
          <t>Docente</t>
        </is>
      </c>
      <c r="B6" s="3" t="inlineStr">
        <is>
          <t>Camilo Rendón Vinasco</t>
        </is>
      </c>
    </row>
    <row r="7">
      <c r="A7" s="2" t="inlineStr">
        <is>
          <t>Sistema bajo prueba</t>
        </is>
      </c>
      <c r="B7" s="3" t="inlineStr">
        <is>
          <t>ConectaProfe · plataforma de gestión de tutorías académicas</t>
        </is>
      </c>
    </row>
    <row r="8">
      <c r="A8" s="2" t="inlineStr">
        <is>
          <t>Entorno</t>
        </is>
      </c>
      <c r="B8" s="3" t="inlineStr">
        <is>
          <t>https://profe-conecta-production-e40c.up.railway.app · commit 693358a (rama main)</t>
        </is>
      </c>
    </row>
    <row r="9">
      <c r="A9" s="2" t="inlineStr">
        <is>
          <t>Navegador ciclo 1</t>
        </is>
      </c>
      <c r="B9" s="3" t="inlineStr">
        <is>
          <t>Chromium 141.0.7390.37 · escritorio 1366 px</t>
        </is>
      </c>
    </row>
    <row r="10">
      <c r="A10" s="2" t="inlineStr">
        <is>
          <t>Navegador ciclo 2</t>
        </is>
      </c>
      <c r="B10" s="3" t="inlineStr">
        <is>
          <t>Chromium 141.0.7390.37 (sustituye a Firefox; ver nota)</t>
        </is>
      </c>
    </row>
    <row r="11">
      <c r="A11" s="2" t="inlineStr">
        <is>
          <t>Sistema operativo</t>
        </is>
      </c>
      <c r="B11" s="3" t="inlineStr">
        <is>
          <t>linux 6.18.44-fc-v77</t>
        </is>
      </c>
    </row>
    <row r="12">
      <c r="A12" s="2" t="inlineStr">
        <is>
          <t>Zona horaria</t>
        </is>
      </c>
      <c r="B12" s="3" t="inlineStr">
        <is>
          <t>America/Bogota (hora de Colombia)</t>
        </is>
      </c>
    </row>
    <row r="13">
      <c r="A13" s="2" t="inlineStr">
        <is>
          <t>Ejecución</t>
        </is>
      </c>
      <c r="B13" s="3" t="inlineStr">
        <is>
          <t>Automatizada con Playwright + Chromium; una ventana nueva por sesión</t>
        </is>
      </c>
    </row>
    <row r="15">
      <c r="A15" s="2" t="inlineStr">
        <is>
          <t>Nota</t>
        </is>
      </c>
      <c r="B15" s="3" t="inlineStr">
        <is>
          <t>Nota sobre el ciclo 2: la guía pide repetir en Firefox. El entorno de ejecución automatizada solo dispone de Chromium, así que el ciclo 2 se corrió en una instancia independiente de Chromium (ventana y almacenamiento nuevos por caso), lo que confirma que los fallos son estables entre corridas. El contraste específico en Firefox queda para ejecución manual del equipo sobre Railway.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34" customWidth="1" min="3" max="3"/>
    <col width="26" customWidth="1" min="4" max="4"/>
    <col width="12" customWidth="1" min="5" max="5"/>
    <col width="70" customWidth="1" min="6" max="6"/>
    <col width="24" customWidth="1" min="7" max="7"/>
    <col width="10" customWidth="1" min="8" max="8"/>
  </cols>
  <sheetData>
    <row r="1" ht="28" customHeight="1">
      <c r="A1" s="4" t="inlineStr">
        <is>
          <t>Caso</t>
        </is>
      </c>
      <c r="B1" s="4" t="inlineStr">
        <is>
          <t>Ciclo</t>
        </is>
      </c>
      <c r="C1" s="4" t="inlineStr">
        <is>
          <t>Entorno</t>
        </is>
      </c>
      <c r="D1" s="4" t="inlineStr">
        <is>
          <t>Fecha y ejecutor</t>
        </is>
      </c>
      <c r="E1" s="4" t="inlineStr">
        <is>
          <t>Estado</t>
        </is>
      </c>
      <c r="F1" s="4" t="inlineStr">
        <is>
          <t>Resultado real</t>
        </is>
      </c>
      <c r="G1" s="4" t="inlineStr">
        <is>
          <t>Evidencia</t>
        </is>
      </c>
      <c r="H1" s="4" t="inlineStr">
        <is>
          <t>Defecto</t>
        </is>
      </c>
    </row>
    <row r="2">
      <c r="A2" s="5" t="inlineStr">
        <is>
          <t>CP-001</t>
        </is>
      </c>
      <c r="B2" s="6" t="n">
        <v>1</v>
      </c>
      <c r="C2" s="6" t="inlineStr">
        <is>
          <t>Chromium 141.0.7390.37 · escritorio 1366 px · 693358a (main)</t>
        </is>
      </c>
      <c r="D2" s="6" t="inlineStr">
        <is>
          <t>07/10/2026, 16:11:28 · Script E2 (Playwright)</t>
        </is>
      </c>
      <c r="E2" s="7" t="inlineStr">
        <is>
          <t>Aprobado</t>
        </is>
      </c>
      <c r="F2" s="6" t="inlineStr">
        <is>
          <t>Bajo la contraseña aparece «Mínimo 8 caracteres»; no se envía nada al servidor y la página sigue en «Crear Cuenta».</t>
        </is>
      </c>
      <c r="G2" s="6" t="inlineStr">
        <is>
          <t>EV-CP001-C1-01.png</t>
        </is>
      </c>
      <c r="H2" s="6" t="inlineStr">
        <is>
          <t>—</t>
        </is>
      </c>
    </row>
    <row r="3">
      <c r="A3" s="5" t="inlineStr">
        <is>
          <t>CP-002</t>
        </is>
      </c>
      <c r="B3" s="6" t="n">
        <v>1</v>
      </c>
      <c r="C3" s="6" t="inlineStr">
        <is>
          <t>Chromium 141.0.7390.37 · escritorio 1366 px · 693358a (main)</t>
        </is>
      </c>
      <c r="D3" s="6" t="inlineStr">
        <is>
          <t>07/10/2026, 16:11:32 · Script E2 (Playwright)</t>
        </is>
      </c>
      <c r="E3" s="7" t="inlineStr">
        <is>
          <t>Aprobado</t>
        </is>
      </c>
      <c r="F3" s="6" t="inlineStr">
        <is>
          <t>POST /api/auth/registro → 201; pasa a «Completar perfil» con el formulario de estudiante y la sesión queda abierta (hay token). Se cerró sesión al terminar.</t>
        </is>
      </c>
      <c r="G3" s="6" t="inlineStr">
        <is>
          <t>EV-CP002-C1-01.png</t>
        </is>
      </c>
      <c r="H3" s="6" t="inlineStr">
        <is>
          <t>—</t>
        </is>
      </c>
    </row>
    <row r="4">
      <c r="A4" s="5" t="inlineStr">
        <is>
          <t>CP-003</t>
        </is>
      </c>
      <c r="B4" s="6" t="n">
        <v>1</v>
      </c>
      <c r="C4" s="6" t="inlineStr">
        <is>
          <t>Chromium 141.0.7390.37 · escritorio 1366 px · 693358a (main)</t>
        </is>
      </c>
      <c r="D4" s="6" t="inlineStr">
        <is>
          <t>07/10/2026, 16:11:35 · Script E2 (Playwright)</t>
        </is>
      </c>
      <c r="E4" s="7" t="inlineStr">
        <is>
          <t>Aprobado</t>
        </is>
      </c>
      <c r="F4" s="6" t="inlineStr">
        <is>
          <t>Bajo la contraseña aparece «Debe incluir al menos un número»; no se envía nada al servidor y la página sigue en «Crear Cuenta».</t>
        </is>
      </c>
      <c r="G4" s="6" t="inlineStr">
        <is>
          <t>EV-CP003-C1-01.png</t>
        </is>
      </c>
      <c r="H4" s="6" t="inlineStr">
        <is>
          <t>—</t>
        </is>
      </c>
    </row>
    <row r="5">
      <c r="A5" s="5" t="inlineStr">
        <is>
          <t>CP-004</t>
        </is>
      </c>
      <c r="B5" s="6" t="n">
        <v>1</v>
      </c>
      <c r="C5" s="6" t="inlineStr">
        <is>
          <t>Chromium 141.0.7390.37 · escritorio 1366 px · 693358a (main)</t>
        </is>
      </c>
      <c r="D5" s="6" t="inlineStr">
        <is>
          <t>07/10/2026, 16:11:39 · Script E2 (Playwright)</t>
        </is>
      </c>
      <c r="E5" s="7" t="inlineStr">
        <is>
          <t>Aprobado</t>
        </is>
      </c>
      <c r="F5" s="6" t="inlineStr">
        <is>
          <t>Bajo la contraseña aparece «Debe incluir al menos una letra»; no se envía nada al servidor y la página sigue en «Crear Cuenta».</t>
        </is>
      </c>
      <c r="G5" s="6" t="inlineStr">
        <is>
          <t>EV-CP004-C1-01.png</t>
        </is>
      </c>
      <c r="H5" s="6" t="inlineStr">
        <is>
          <t>—</t>
        </is>
      </c>
    </row>
    <row r="6">
      <c r="A6" s="5" t="inlineStr">
        <is>
          <t>CP-005</t>
        </is>
      </c>
      <c r="B6" s="6" t="n">
        <v>1</v>
      </c>
      <c r="C6" s="6" t="inlineStr">
        <is>
          <t>Chromium 141.0.7390.37 · escritorio 1366 px · 693358a (main)</t>
        </is>
      </c>
      <c r="D6" s="6" t="inlineStr">
        <is>
          <t>07/10/2026, 16:11:42 · Script E2 (Playwright)</t>
        </is>
      </c>
      <c r="E6" s="7" t="inlineStr">
        <is>
          <t>Aprobado</t>
        </is>
      </c>
      <c r="F6" s="6" t="inlineStr">
        <is>
          <t>Bajo el correo aparece «Solo correos @amigo.edu.co» y no se envía la petición de registro.</t>
        </is>
      </c>
      <c r="G6" s="6" t="inlineStr">
        <is>
          <t>EV-CP005-C1-01.png</t>
        </is>
      </c>
      <c r="H6" s="6" t="inlineStr">
        <is>
          <t>—</t>
        </is>
      </c>
    </row>
    <row r="7">
      <c r="A7" s="5" t="inlineStr">
        <is>
          <t>CP-006</t>
        </is>
      </c>
      <c r="B7" s="6" t="n">
        <v>1</v>
      </c>
      <c r="C7" s="6" t="inlineStr">
        <is>
          <t>Chromium 141.0.7390.37 · escritorio 1366 px · 693358a (main)</t>
        </is>
      </c>
      <c r="D7" s="6" t="inlineStr">
        <is>
          <t>07/10/2026, 16:11:46 · Script E2 (Playwright)</t>
        </is>
      </c>
      <c r="E7" s="7" t="inlineStr">
        <is>
          <t>Aprobado</t>
        </is>
      </c>
      <c r="F7" s="6" t="inlineStr">
        <is>
          <t>POST /api/auth/registro → 201; pasa a «Completar perfil» con el formulario de docente y la sesión queda abierta (hay token). Se cerró sesión al terminar.</t>
        </is>
      </c>
      <c r="G7" s="6" t="inlineStr">
        <is>
          <t>EV-CP006-C1-01.png</t>
        </is>
      </c>
      <c r="H7" s="6" t="inlineStr">
        <is>
          <t>—</t>
        </is>
      </c>
    </row>
    <row r="8">
      <c r="A8" s="5" t="inlineStr">
        <is>
          <t>CP-007</t>
        </is>
      </c>
      <c r="B8" s="6" t="n">
        <v>1</v>
      </c>
      <c r="C8" s="6" t="inlineStr">
        <is>
          <t>Chromium 141.0.7390.37 · escritorio 1366 px · 693358a (main)</t>
        </is>
      </c>
      <c r="D8" s="6" t="inlineStr">
        <is>
          <t>07/10/2026, 16:11:49 · Script E2 (Playwright)</t>
        </is>
      </c>
      <c r="E8" s="7" t="inlineStr">
        <is>
          <t>Aprobado</t>
        </is>
      </c>
      <c r="F8" s="6" t="inlineStr">
        <is>
          <t>POST /api/auth/registro → 201; pasa a «Completar perfil» con el formulario de estudiante y la sesión queda abierta (hay token). Se cerró sesión al terminar.</t>
        </is>
      </c>
      <c r="G8" s="6" t="inlineStr">
        <is>
          <t>EV-CP007-C1-01.png</t>
        </is>
      </c>
      <c r="H8" s="6" t="inlineStr">
        <is>
          <t>—</t>
        </is>
      </c>
    </row>
    <row r="9">
      <c r="A9" s="5" t="inlineStr">
        <is>
          <t>CP-008</t>
        </is>
      </c>
      <c r="B9" s="6" t="n">
        <v>1</v>
      </c>
      <c r="C9" s="6" t="inlineStr">
        <is>
          <t>Chromium 141.0.7390.37 · escritorio 1366 px · 693358a (main)</t>
        </is>
      </c>
      <c r="D9" s="6" t="inlineStr">
        <is>
          <t>07/10/2026, 16:11:53 · Script E2 (Playwright)</t>
        </is>
      </c>
      <c r="E9" s="7" t="inlineStr">
        <is>
          <t>Aprobado</t>
        </is>
      </c>
      <c r="F9" s="6" t="inlineStr">
        <is>
          <t>La consola muestra {"error":"Rol inválido"} y la pestaña Red el código 400.</t>
        </is>
      </c>
      <c r="G9" s="6" t="inlineStr">
        <is>
          <t>EV-CP008-C1-01.png</t>
        </is>
      </c>
      <c r="H9" s="6" t="inlineStr">
        <is>
          <t>—</t>
        </is>
      </c>
    </row>
    <row r="10">
      <c r="A10" s="5" t="inlineStr">
        <is>
          <t>CP-009</t>
        </is>
      </c>
      <c r="B10" s="6" t="n">
        <v>1</v>
      </c>
      <c r="C10" s="6" t="inlineStr">
        <is>
          <t>Chromium 141.0.7390.37 · escritorio 1366 px · 693358a (main)</t>
        </is>
      </c>
      <c r="D10" s="6" t="inlineStr">
        <is>
          <t>07/10/2026, 16:11:54 · Script E2 (Playwright)</t>
        </is>
      </c>
      <c r="E10" s="7" t="inlineStr">
        <is>
          <t>Aprobado</t>
        </is>
      </c>
      <c r="F10" s="6" t="inlineStr">
        <is>
          <t>POST /api/auth/registro → 409; bajo el correo aparece «Ya existe una cuenta con ese correo».</t>
        </is>
      </c>
      <c r="G10" s="6" t="inlineStr">
        <is>
          <t>EV-CP009-C1-01.png</t>
        </is>
      </c>
      <c r="H10" s="6" t="inlineStr">
        <is>
          <t>—</t>
        </is>
      </c>
    </row>
    <row r="11">
      <c r="A11" s="5" t="inlineStr">
        <is>
          <t>CP-010</t>
        </is>
      </c>
      <c r="B11" s="6" t="n">
        <v>1</v>
      </c>
      <c r="C11" s="6" t="inlineStr">
        <is>
          <t>Chromium 141.0.7390.37 · escritorio 1366 px · 693358a (main)</t>
        </is>
      </c>
      <c r="D11" s="6" t="inlineStr">
        <is>
          <t>07/10/2026, 16:11:57 · Script E2 (Playwright)</t>
        </is>
      </c>
      <c r="E11" s="7" t="inlineStr">
        <is>
          <t>Aprobado</t>
        </is>
      </c>
      <c r="F11" s="6" t="inlineStr">
        <is>
          <t>POST /api/auth/login → 200; entra a «Mi Panel» del estudiante con el saludo «Hola, Sebastián».</t>
        </is>
      </c>
      <c r="G11" s="6" t="inlineStr">
        <is>
          <t>EV-CP010-C1-01.png</t>
        </is>
      </c>
      <c r="H11" s="6" t="inlineStr">
        <is>
          <t>—</t>
        </is>
      </c>
    </row>
    <row r="12">
      <c r="A12" s="5" t="inlineStr">
        <is>
          <t>CP-011</t>
        </is>
      </c>
      <c r="B12" s="6" t="n">
        <v>1</v>
      </c>
      <c r="C12" s="6" t="inlineStr">
        <is>
          <t>Chromium 141.0.7390.37 · escritorio 1366 px · 693358a (main)</t>
        </is>
      </c>
      <c r="D12" s="6" t="inlineStr">
        <is>
          <t>07/10/2026, 16:12:00 · Script E2 (Playwright)</t>
        </is>
      </c>
      <c r="E12" s="7" t="inlineStr">
        <is>
          <t>Aprobado</t>
        </is>
      </c>
      <c r="F12" s="6" t="inlineStr">
        <is>
          <t>POST /api/auth/login → 401; bajo el correo aparece «Correo o contraseña incorrectos», sin decir si el correo existe.</t>
        </is>
      </c>
      <c r="G12" s="6" t="inlineStr">
        <is>
          <t>EV-CP011-C1-01.png</t>
        </is>
      </c>
      <c r="H12" s="6" t="inlineStr">
        <is>
          <t>—</t>
        </is>
      </c>
    </row>
    <row r="13">
      <c r="A13" s="5" t="inlineStr">
        <is>
          <t>CP-012</t>
        </is>
      </c>
      <c r="B13" s="6" t="n">
        <v>1</v>
      </c>
      <c r="C13" s="6" t="inlineStr">
        <is>
          <t>Chromium 141.0.7390.37 · escritorio 1366 px · 693358a (main)</t>
        </is>
      </c>
      <c r="D13" s="6" t="inlineStr">
        <is>
          <t>07/10/2026, 16:12:02 · Script E2 (Playwright)</t>
        </is>
      </c>
      <c r="E13" s="7" t="inlineStr">
        <is>
          <t>Aprobado</t>
        </is>
      </c>
      <c r="F13" s="6" t="inlineStr">
        <is>
          <t>Preparación: se creó prueba.bloqueo.c1@amigo.edu.co y se cerró sesión. El intento con «Incorrecta123» respondió 401 con «Correo o contraseña incorrectos»; no aparece el aviso de bloqueo.</t>
        </is>
      </c>
      <c r="G13" s="6" t="inlineStr">
        <is>
          <t>EV-CP012-C1-01.png</t>
        </is>
      </c>
      <c r="H13" s="6" t="inlineStr">
        <is>
          <t>—</t>
        </is>
      </c>
    </row>
    <row r="14">
      <c r="A14" s="5" t="inlineStr">
        <is>
          <t>CP-013</t>
        </is>
      </c>
      <c r="B14" s="6" t="n">
        <v>1</v>
      </c>
      <c r="C14" s="6" t="inlineStr">
        <is>
          <t>Chromium 141.0.7390.37 · escritorio 1366 px · 693358a (main)</t>
        </is>
      </c>
      <c r="D14" s="6" t="inlineStr">
        <is>
          <t>07/10/2026, 16:12:08 · Script E2 (Playwright)</t>
        </is>
      </c>
      <c r="E14" s="8" t="inlineStr">
        <is>
          <t>Fallido</t>
        </is>
      </c>
      <c r="F14" s="6" t="inlineStr">
        <is>
          <t>Los tres intentos con «Incorrecta123» respondieron 401, 401, 401. El cuarto, con la clave correcta, respondió 200 y abrió «Mi Panel»: no hubo bloqueo.</t>
        </is>
      </c>
      <c r="G14" s="6" t="inlineStr">
        <is>
          <t>EV-CP013-C1-01.png, EV-CP013-C1-02.png</t>
        </is>
      </c>
      <c r="H14" s="6" t="inlineStr">
        <is>
          <t>DEF-04</t>
        </is>
      </c>
    </row>
    <row r="15">
      <c r="A15" s="5" t="inlineStr">
        <is>
          <t>CP-014</t>
        </is>
      </c>
      <c r="B15" s="6" t="n">
        <v>1</v>
      </c>
      <c r="C15" s="6" t="inlineStr">
        <is>
          <t>Chromium 141.0.7390.37 · escritorio 1366 px · 693358a (main)</t>
        </is>
      </c>
      <c r="D15" s="6" t="inlineStr">
        <is>
          <t>07/10/2026, 16:12:20 · Script E2 (Playwright)</t>
        </is>
      </c>
      <c r="E15" s="9" t="inlineStr">
        <is>
          <t>Bloqueado</t>
        </is>
      </c>
      <c r="F15"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institucional.</t>
        </is>
      </c>
      <c r="G15" s="6" t="inlineStr">
        <is>
          <t>EV-CP014-C1-01.png</t>
        </is>
      </c>
      <c r="H15" s="6" t="inlineStr">
        <is>
          <t>—</t>
        </is>
      </c>
    </row>
    <row r="16">
      <c r="A16" s="5" t="inlineStr">
        <is>
          <t>CP-015</t>
        </is>
      </c>
      <c r="B16" s="6" t="n">
        <v>1</v>
      </c>
      <c r="C16" s="6" t="inlineStr">
        <is>
          <t>Chromium 141.0.7390.37 · escritorio 1366 px · 693358a (main)</t>
        </is>
      </c>
      <c r="D16" s="6" t="inlineStr">
        <is>
          <t>07/10/2026, 16:12:23 · Script E2 (Playwright)</t>
        </is>
      </c>
      <c r="E16" s="9" t="inlineStr">
        <is>
          <t>Bloqueado</t>
        </is>
      </c>
      <c r="F16"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de Gmail.</t>
        </is>
      </c>
      <c r="G16" s="6" t="inlineStr">
        <is>
          <t>EV-CP015-C1-01.png</t>
        </is>
      </c>
      <c r="H16" s="6" t="inlineStr">
        <is>
          <t>—</t>
        </is>
      </c>
    </row>
    <row r="17">
      <c r="A17" s="5" t="inlineStr">
        <is>
          <t>CP-016</t>
        </is>
      </c>
      <c r="B17" s="6" t="n">
        <v>1</v>
      </c>
      <c r="C17" s="6" t="inlineStr">
        <is>
          <t>Chromium 141.0.7390.37 · escritorio 1366 px · 693358a (main)</t>
        </is>
      </c>
      <c r="D17" s="6" t="inlineStr">
        <is>
          <t>07/10/2026, 16:12:26 · Script E2 (Playwright)</t>
        </is>
      </c>
      <c r="E17" s="8" t="inlineStr">
        <is>
          <t>Fallido</t>
        </is>
      </c>
      <c r="F17" s="6" t="inlineStr">
        <is>
          <t>POST /api/perfil/estudiante → 200; pasa a «Mi Panel». En pantalla no se ve ningún mensaje: el elemento #tostada tiene el texto «Perfil guardado correctamente» y las clases «tostada tostada--visible», con opacidad calculada 0.</t>
        </is>
      </c>
      <c r="G17" s="6" t="inlineStr">
        <is>
          <t>EV-CP016-C1-01.png</t>
        </is>
      </c>
      <c r="H17" s="6" t="inlineStr">
        <is>
          <t>DEF-13</t>
        </is>
      </c>
    </row>
    <row r="18">
      <c r="A18" s="5" t="inlineStr">
        <is>
          <t>CP-017</t>
        </is>
      </c>
      <c r="B18" s="6" t="n">
        <v>1</v>
      </c>
      <c r="C18" s="6" t="inlineStr">
        <is>
          <t>Chromium 141.0.7390.37 · escritorio 1366 px · 693358a (main)</t>
        </is>
      </c>
      <c r="D18" s="6" t="inlineStr">
        <is>
          <t>07/10/2026, 16:12:30 · Script E2 (Playwright)</t>
        </is>
      </c>
      <c r="E18" s="8" t="inlineStr">
        <is>
          <t>Fallido</t>
        </is>
      </c>
      <c r="F18"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18" s="6" t="inlineStr">
        <is>
          <t>EV-CP017-C1-01.png</t>
        </is>
      </c>
      <c r="H18" s="6" t="inlineStr">
        <is>
          <t>DEF-03</t>
        </is>
      </c>
    </row>
    <row r="19">
      <c r="A19" s="5" t="inlineStr">
        <is>
          <t>CP-018</t>
        </is>
      </c>
      <c r="B19" s="6" t="n">
        <v>1</v>
      </c>
      <c r="C19" s="6" t="inlineStr">
        <is>
          <t>Chromium 141.0.7390.37 · escritorio 1366 px · 693358a (main)</t>
        </is>
      </c>
      <c r="D19" s="6" t="inlineStr">
        <is>
          <t>07/10/2026, 16:12:34 · Script E2 (Playwright)</t>
        </is>
      </c>
      <c r="E19" s="7" t="inlineStr">
        <is>
          <t>Aprobado</t>
        </is>
      </c>
      <c r="F19" s="6" t="inlineStr">
        <is>
          <t>Respuesta 403 {"error":"No tienes permiso para esto"}.</t>
        </is>
      </c>
      <c r="G19" s="6" t="inlineStr">
        <is>
          <t>EV-CP018-C1-01.png</t>
        </is>
      </c>
      <c r="H19" s="6" t="inlineStr">
        <is>
          <t>—</t>
        </is>
      </c>
    </row>
    <row r="20">
      <c r="A20" s="5" t="inlineStr">
        <is>
          <t>CP-019</t>
        </is>
      </c>
      <c r="B20" s="6" t="n">
        <v>1</v>
      </c>
      <c r="C20" s="6" t="inlineStr">
        <is>
          <t>Chromium 141.0.7390.37 · escritorio 1366 px · 693358a (main)</t>
        </is>
      </c>
      <c r="D20" s="6" t="inlineStr">
        <is>
          <t>07/10/2026, 16:12:36 · Script E2 (Playwright)</t>
        </is>
      </c>
      <c r="E20" s="7" t="inlineStr">
        <is>
          <t>Aprobado</t>
        </is>
      </c>
      <c r="F20" s="6" t="inlineStr">
        <is>
          <t>Con la fecha 07/10/2026 y la hora 23:00, bajo la fecha aparece «La fecha debe ser a partir de mañana (RN06)» y no se envía nada al servidor.</t>
        </is>
      </c>
      <c r="G20" s="6" t="inlineStr">
        <is>
          <t>EV-CP019-C1-01.png</t>
        </is>
      </c>
      <c r="H20" s="6" t="inlineStr">
        <is>
          <t>—</t>
        </is>
      </c>
    </row>
    <row r="21">
      <c r="A21" s="5" t="inlineStr">
        <is>
          <t>CP-020</t>
        </is>
      </c>
      <c r="B21" s="6" t="n">
        <v>1</v>
      </c>
      <c r="C21" s="6" t="inlineStr">
        <is>
          <t>Chromium 141.0.7390.37 · escritorio 1366 px · 693358a (main)</t>
        </is>
      </c>
      <c r="D21" s="6" t="inlineStr">
        <is>
          <t>07/10/2026, 16:12:45 · Script E2 (Playwright)</t>
        </is>
      </c>
      <c r="E21" s="7" t="inlineStr">
        <is>
          <t>Aprobado</t>
        </is>
      </c>
      <c r="F21" s="6" t="inlineStr">
        <is>
          <t>Con la fecha 06/10/2026 y la hora 10:00, bajo la fecha aparece «La fecha debe ser a partir de mañana (RN06)» y no se envía nada al servidor.</t>
        </is>
      </c>
      <c r="G21" s="6" t="inlineStr">
        <is>
          <t>EV-CP020-C1-01.png</t>
        </is>
      </c>
      <c r="H21" s="6" t="inlineStr">
        <is>
          <t>—</t>
        </is>
      </c>
    </row>
    <row r="22">
      <c r="A22" s="5" t="inlineStr">
        <is>
          <t>CP-021</t>
        </is>
      </c>
      <c r="B22" s="6" t="n">
        <v>1</v>
      </c>
      <c r="C22" s="6" t="inlineStr">
        <is>
          <t>Chromium 141.0.7390.37 · escritorio 1366 px · 693358a (main)</t>
        </is>
      </c>
      <c r="D22" s="6" t="inlineStr">
        <is>
          <t>07/10/2026, 16:12:53 · Script E2 (Playwright)</t>
        </is>
      </c>
      <c r="E22" s="7" t="inlineStr">
        <is>
          <t>Aprobado</t>
        </is>
      </c>
      <c r="F22" s="6" t="inlineStr">
        <is>
          <t>Respuesta 404 {"error":"Docente no encontrado o inactivo"}; al recargar, la página carga normal y el servidor sigue arriba.</t>
        </is>
      </c>
      <c r="G22" s="6" t="inlineStr">
        <is>
          <t>EV-CP021-C1-01.png</t>
        </is>
      </c>
      <c r="H22" s="6" t="inlineStr">
        <is>
          <t>—</t>
        </is>
      </c>
    </row>
    <row r="23">
      <c r="A23" s="5" t="inlineStr">
        <is>
          <t>CP-022</t>
        </is>
      </c>
      <c r="B23" s="6" t="n">
        <v>1</v>
      </c>
      <c r="C23" s="6" t="inlineStr">
        <is>
          <t>Chromium 141.0.7390.37 · escritorio 1366 px · 693358a (main)</t>
        </is>
      </c>
      <c r="D23" s="6" t="inlineStr">
        <is>
          <t>07/10/2026, 16:12:57 · Script E2 (Playwright)</t>
        </is>
      </c>
      <c r="E23" s="7" t="inlineStr">
        <is>
          <t>Aprobado</t>
        </is>
      </c>
      <c r="F23" s="6" t="inlineStr">
        <is>
          <t>Preparación: sgarcia programó con Carlos Peña Ochoa el 10/03/2027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23" s="6" t="inlineStr">
        <is>
          <t>EV-CP022-C1-01.png</t>
        </is>
      </c>
      <c r="H23" s="6" t="inlineStr">
        <is>
          <t>—</t>
        </is>
      </c>
    </row>
    <row r="24">
      <c r="A24" s="5" t="inlineStr">
        <is>
          <t>CP-023</t>
        </is>
      </c>
      <c r="B24" s="6" t="n">
        <v>1</v>
      </c>
      <c r="C24" s="6" t="inlineStr">
        <is>
          <t>Chromium 141.0.7390.37 · escritorio 1366 px · 693358a (main)</t>
        </is>
      </c>
      <c r="D24" s="6" t="inlineStr">
        <is>
          <t>07/10/2026, 16:13:07 · Script E2 (Playwright)</t>
        </is>
      </c>
      <c r="E24" s="7" t="inlineStr">
        <is>
          <t>Aprobado</t>
        </is>
      </c>
      <c r="F24" s="6" t="inlineStr">
        <is>
          <t>Se programó para el 12/10/2026 a las 15:00 (201). Al cancelar: PATCH → 200; la tarjeta pasa a «Cancelada» y ya no tiene botón «Cancelar».</t>
        </is>
      </c>
      <c r="G24" s="6" t="inlineStr">
        <is>
          <t>EV-CP023-C1-01.png</t>
        </is>
      </c>
      <c r="H24" s="6" t="inlineStr">
        <is>
          <t>—</t>
        </is>
      </c>
    </row>
    <row r="25">
      <c r="A25" s="5" t="inlineStr">
        <is>
          <t>CP-024</t>
        </is>
      </c>
      <c r="B25" s="6" t="n">
        <v>1</v>
      </c>
      <c r="C25" s="6" t="inlineStr">
        <is>
          <t>Chromium 141.0.7390.37 · escritorio 1366 px · 693358a (main)</t>
        </is>
      </c>
      <c r="D25" s="6" t="inlineStr">
        <is>
          <t>07/10/2026, 16:13:14 · Script E2 (Playwright)</t>
        </is>
      </c>
      <c r="E25" s="8" t="inlineStr">
        <is>
          <t>Fallido</t>
        </is>
      </c>
      <c r="F25" s="6" t="inlineStr">
        <is>
          <t>Preparación: tutoría con Juan Salazar Bedoya el 08/10/2026 a las 04:13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25" s="6" t="inlineStr">
        <is>
          <t>EV-CP024-C1-01.png</t>
        </is>
      </c>
      <c r="H25" s="6" t="inlineStr">
        <is>
          <t>DEF-13</t>
        </is>
      </c>
    </row>
    <row r="26">
      <c r="A26" s="5" t="inlineStr">
        <is>
          <t>CP-025</t>
        </is>
      </c>
      <c r="B26" s="6" t="n">
        <v>1</v>
      </c>
      <c r="C26" s="6" t="inlineStr">
        <is>
          <t>Chromium 141.0.7390.37 · escritorio 1366 px · 693358a (main)</t>
        </is>
      </c>
      <c r="D26" s="6" t="inlineStr">
        <is>
          <t>07/10/2026, 16:13:20 · Script E2 (Playwright)</t>
        </is>
      </c>
      <c r="E26" s="8" t="inlineStr">
        <is>
          <t>Fallido</t>
        </is>
      </c>
      <c r="F26" s="6" t="inlineStr">
        <is>
          <t>Preparación: tutoría con Laura Vargas Suárez el 08/10/2026 a las 18:13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26" s="6" t="inlineStr">
        <is>
          <t>EV-CP025-C1-01.png</t>
        </is>
      </c>
      <c r="H26" s="6" t="inlineStr">
        <is>
          <t>DEF-08</t>
        </is>
      </c>
    </row>
    <row r="27">
      <c r="A27" s="5" t="inlineStr">
        <is>
          <t>CP-026</t>
        </is>
      </c>
      <c r="B27" s="6" t="n">
        <v>1</v>
      </c>
      <c r="C27" s="6" t="inlineStr">
        <is>
          <t>Chromium 141.0.7390.37 · escritorio 1366 px · 693358a (main)</t>
        </is>
      </c>
      <c r="D27" s="6" t="inlineStr">
        <is>
          <t>07/10/2026, 16:13:27 · Script E2 (Playwright)</t>
        </is>
      </c>
      <c r="E27" s="7" t="inlineStr">
        <is>
          <t>Aprobado</t>
        </is>
      </c>
      <c r="F27" s="6" t="inlineStr">
        <is>
          <t>Preparación: jperez programó con María González Ramos el 08/10/2026 a las 07:00 (201). Con el reloj del navegador en ese día a las 08:00, la docente ve «Marcar realizada»; al confirmar, PATCH → 200 y la tarjeta pasa a «Completada».</t>
        </is>
      </c>
      <c r="G27" s="6" t="inlineStr">
        <is>
          <t>EV-CP026-C1-01.png</t>
        </is>
      </c>
      <c r="H27" s="6" t="inlineStr">
        <is>
          <t>—</t>
        </is>
      </c>
    </row>
    <row r="28">
      <c r="A28" s="5" t="inlineStr">
        <is>
          <t>CP-027</t>
        </is>
      </c>
      <c r="B28" s="6" t="n">
        <v>1</v>
      </c>
      <c r="C28" s="6" t="inlineStr">
        <is>
          <t>Chromium 141.0.7390.37 · escritorio 1366 px · 693358a (main)</t>
        </is>
      </c>
      <c r="D28" s="6" t="inlineStr">
        <is>
          <t>07/10/2026, 16:13:35 · Script E2 (Playwright)</t>
        </is>
      </c>
      <c r="E28" s="7" t="inlineStr">
        <is>
          <t>Aprobado</t>
        </is>
      </c>
      <c r="F28" s="6" t="inlineStr">
        <is>
          <t>POST /api/admin/usuarios → 200 {"mensaje":"Usuario creado","id":28}; la fila aparece en la tabla.</t>
        </is>
      </c>
      <c r="G28" s="6" t="inlineStr">
        <is>
          <t>EV-CP027-C1-01.png</t>
        </is>
      </c>
      <c r="H28" s="6" t="inlineStr">
        <is>
          <t>—</t>
        </is>
      </c>
    </row>
    <row r="29">
      <c r="A29" s="5" t="inlineStr">
        <is>
          <t>CP-028</t>
        </is>
      </c>
      <c r="B29" s="6" t="n">
        <v>1</v>
      </c>
      <c r="C29" s="6" t="inlineStr">
        <is>
          <t>Chromium 141.0.7390.37 · escritorio 1366 px · 693358a (main)</t>
        </is>
      </c>
      <c r="D29" s="6" t="inlineStr">
        <is>
          <t>07/10/2026, 16:13:41 · Script E2 (Playwright)</t>
        </is>
      </c>
      <c r="E29" s="7" t="inlineStr">
        <is>
          <t>Aprobado</t>
        </is>
      </c>
      <c r="F29" s="6" t="inlineStr">
        <is>
          <t>PUT → 409; la ventana del navegador dice «Error al guardar: Ya existe otro usuario con ese correo» y, al recargar la tabla, el correo sigue siendo laura.gomez.c1@amigo.edu.co.</t>
        </is>
      </c>
      <c r="G29" s="6" t="inlineStr">
        <is>
          <t>EV-CP028-C1-01.png</t>
        </is>
      </c>
      <c r="H29" s="6" t="inlineStr">
        <is>
          <t>—</t>
        </is>
      </c>
    </row>
    <row r="30">
      <c r="A30" s="5" t="inlineStr">
        <is>
          <t>CP-029</t>
        </is>
      </c>
      <c r="B30" s="6" t="n">
        <v>1</v>
      </c>
      <c r="C30" s="6" t="inlineStr">
        <is>
          <t>Chromium 141.0.7390.37 · escritorio 1366 px · 693358a (main)</t>
        </is>
      </c>
      <c r="D30" s="6" t="inlineStr">
        <is>
          <t>07/10/2026, 16:13:48 · Script E2 (Playwright)</t>
        </is>
      </c>
      <c r="E30" s="7" t="inlineStr">
        <is>
          <t>Aprobado</t>
        </is>
      </c>
      <c r="F30" s="6" t="inlineStr">
        <is>
          <t>La primera fila es «07/10/2026 21:13 · admin.equipof@amigo.edu.co · 🔑 Login»: fecha legible y tipo correcto. El inicio de sesión se hizo a las 16:13 (hora de Colombia) y la tabla muestra 21:13: 5 horas de diferencia.</t>
        </is>
      </c>
      <c r="G30" s="6" t="inlineStr">
        <is>
          <t>EV-CP029-C1-01.png</t>
        </is>
      </c>
      <c r="H30" s="6" t="inlineStr">
        <is>
          <t>DEF-12</t>
        </is>
      </c>
    </row>
    <row r="31">
      <c r="A31" s="5" t="inlineStr">
        <is>
          <t>CP-030</t>
        </is>
      </c>
      <c r="B31" s="6" t="n">
        <v>1</v>
      </c>
      <c r="C31" s="6" t="inlineStr">
        <is>
          <t>Chromium 141.0.7390.37 · escritorio 1366 px · 693358a (main)</t>
        </is>
      </c>
      <c r="D31" s="6" t="inlineStr">
        <is>
          <t>07/10/2026, 16:13:51 · Script E2 (Playwright)</t>
        </is>
      </c>
      <c r="E31" s="7" t="inlineStr">
        <is>
          <t>Aprobado</t>
        </is>
      </c>
      <c r="F31" s="6" t="inlineStr">
        <is>
          <t>POST → 200 {"mensaje":"Enviado a 6 usuarios","cantidad":6}. La primera fila del historial es «07/10/2026 21:13 📅 Recordatorio de tutoría Todos los estudiantes en alerta (6) Recordatorio ✓ Enviado».</t>
        </is>
      </c>
      <c r="G31" s="6" t="inlineStr">
        <is>
          <t>EV-CP030-C1-01.png</t>
        </is>
      </c>
      <c r="H31" s="6" t="inlineStr">
        <is>
          <t>—</t>
        </is>
      </c>
    </row>
    <row r="32">
      <c r="A32" s="5" t="inlineStr">
        <is>
          <t>CP-031</t>
        </is>
      </c>
      <c r="B32" s="6" t="n">
        <v>1</v>
      </c>
      <c r="C32" s="6" t="inlineStr">
        <is>
          <t>Chromium 141.0.7390.37 · escritorio 1366 px · 693358a (main)</t>
        </is>
      </c>
      <c r="D32" s="6" t="inlineStr">
        <is>
          <t>07/10/2026, 16:13:56 · Script E2 (Playwright)</t>
        </is>
      </c>
      <c r="E32" s="8" t="inlineStr">
        <is>
          <t>Fallido</t>
        </is>
      </c>
      <c r="F32" s="6" t="inlineStr">
        <is>
          <t>Preparación: se desactivó a Valentina Osorio. Estudiantes + Activos + «»: 11 filas visibles de 15 esperadas; sobran vosorio@amigo.edu.co; faltan perfil.c1@amigo.edu.co, lcano@amigo.edu.co, dmontoya@amigo.edu.co, malvarez@amigo.edu.co, lramirez@amigo.edu.co; contador «Mostrando 11 usuario(s)». Docentes + Inactivos + «Peña»: 0 filas visibles de 0 esperadas; contador «Mostrando 0 usuario(s)». Administradores + Activos + «zzz»: 0 filas visibles de 0 esperadas; contador «Mostrando 0 usuario(s)». Al final se reactivó la cuenta.</t>
        </is>
      </c>
      <c r="G32" s="6" t="inlineStr">
        <is>
          <t>EV-CP031-C1-01.png, EV-CP031-C1-02.png, EV-CP031-C1-03.png</t>
        </is>
      </c>
      <c r="H32" s="6" t="inlineStr">
        <is>
          <t>DEF-11</t>
        </is>
      </c>
    </row>
    <row r="33">
      <c r="A33" s="5" t="inlineStr">
        <is>
          <t>CP-032</t>
        </is>
      </c>
      <c r="B33" s="6" t="n">
        <v>1</v>
      </c>
      <c r="C33" s="6" t="inlineStr">
        <is>
          <t>Chromium 141.0.7390.37 · escritorio 1366 px · 693358a (main)</t>
        </is>
      </c>
      <c r="D33" s="6" t="inlineStr">
        <is>
          <t>07/10/2026, 16:14:02 · Script E2 (Playwright)</t>
        </is>
      </c>
      <c r="E33" s="8" t="inlineStr">
        <is>
          <t>Fallido</t>
        </is>
      </c>
      <c r="F33" s="6" t="inlineStr">
        <is>
          <t>La asesoría con fecha de hoy (07/10/2026 18:11) se crea: POST → 200 {"mensaje":"Asesoría creada. Se notificó a Sandra Ríos Montoya y a Camilo Ríos Zapata.","tutoria_id":6}. Aparece en «Sesiones Programadas».</t>
        </is>
      </c>
      <c r="G33" s="6" t="inlineStr">
        <is>
          <t>EV-CP032-C1-01.png</t>
        </is>
      </c>
      <c r="H33" s="6" t="inlineStr">
        <is>
          <t>DEF-02</t>
        </is>
      </c>
    </row>
    <row r="34">
      <c r="A34" s="5" t="inlineStr">
        <is>
          <t>CP-033</t>
        </is>
      </c>
      <c r="B34" s="6" t="n">
        <v>1</v>
      </c>
      <c r="C34" s="6" t="inlineStr">
        <is>
          <t>Chromium 141.0.7390.37 · escritorio 1366 px · 693358a (main)</t>
        </is>
      </c>
      <c r="D34" s="6" t="inlineStr">
        <is>
          <t>07/10/2026, 16:14:07 · Script E2 (Playwright)</t>
        </is>
      </c>
      <c r="E34" s="8" t="inlineStr">
        <is>
          <t>Fallido</t>
        </is>
      </c>
      <c r="F34" s="6" t="inlineStr">
        <is>
          <t>Primera (Andrés López Castillo): 201. Segunda (Sandra Ríos Montoya, misma fecha y hora): 201 {"mensaje":"Tutoría programada","id":8}. En «Mis Tutorías Programadas» hay 2 tarjeta(s) el 01/04/2027 a las 09:00.</t>
        </is>
      </c>
      <c r="G34" s="6" t="inlineStr">
        <is>
          <t>EV-CP033-C1-01.png</t>
        </is>
      </c>
      <c r="H34" s="6" t="inlineStr">
        <is>
          <t>DEF-09</t>
        </is>
      </c>
    </row>
    <row r="35">
      <c r="A35" s="5" t="inlineStr">
        <is>
          <t>CP-034</t>
        </is>
      </c>
      <c r="B35" s="6" t="n">
        <v>1</v>
      </c>
      <c r="C35" s="6" t="inlineStr">
        <is>
          <t>Chromium 141.0.7390.37 · escritorio 1366 px · 693358a (main)</t>
        </is>
      </c>
      <c r="D35" s="6" t="inlineStr">
        <is>
          <t>07/10/2026, 16:14:15 · Script E2 (Playwright)</t>
        </is>
      </c>
      <c r="E35" s="8" t="inlineStr">
        <is>
          <t>Fallido</t>
        </is>
      </c>
      <c r="F35" s="6" t="inlineStr">
        <is>
          <t>A los 16 minutos sin actividad la sesión sigue abierta (token presente). «Programar Tutoría» abre normalmente y, al recargar, la aplicación vuelve al panel con la sesión activa. El tiempo se simuló adelantando el reloj del navegador.</t>
        </is>
      </c>
      <c r="G35" s="6" t="inlineStr">
        <is>
          <t>EV-CP034-C1-01.png, EV-CP034-C1-02.png, EV-CP034-C1-03.png</t>
        </is>
      </c>
      <c r="H35" s="6" t="inlineStr">
        <is>
          <t>DEF-01</t>
        </is>
      </c>
    </row>
    <row r="36">
      <c r="A36" s="5" t="inlineStr">
        <is>
          <t>CP-007</t>
        </is>
      </c>
      <c r="B36" s="6" t="n">
        <v>2</v>
      </c>
      <c r="C36" s="6" t="inlineStr">
        <is>
          <t>Chromium (sustituye a Firefox) 141.0.7390.37 · escritorio 1366 px · 693358a (main)</t>
        </is>
      </c>
      <c r="D36" s="6" t="inlineStr">
        <is>
          <t>07/10/2026, 16:14:43 · Script E2 (Playwright)</t>
        </is>
      </c>
      <c r="E36" s="7" t="inlineStr">
        <is>
          <t>Aprobado</t>
        </is>
      </c>
      <c r="F36" s="6" t="inlineStr">
        <is>
          <t>POST /api/auth/registro → 201; pasa a «Completar perfil» con el formulario de estudiante y la sesión queda abierta (hay token). Se cerró sesión al terminar.</t>
        </is>
      </c>
      <c r="G36" s="6" t="inlineStr">
        <is>
          <t>EV-CP007-C2-01.png</t>
        </is>
      </c>
      <c r="H36" s="6" t="inlineStr">
        <is>
          <t>—</t>
        </is>
      </c>
    </row>
    <row r="37">
      <c r="A37" s="5" t="inlineStr">
        <is>
          <t>CP-008</t>
        </is>
      </c>
      <c r="B37" s="6" t="n">
        <v>2</v>
      </c>
      <c r="C37" s="6" t="inlineStr">
        <is>
          <t>Chromium (sustituye a Firefox) 141.0.7390.37 · escritorio 1366 px · 693358a (main)</t>
        </is>
      </c>
      <c r="D37" s="6" t="inlineStr">
        <is>
          <t>07/10/2026, 16:14:48 · Script E2 (Playwright)</t>
        </is>
      </c>
      <c r="E37" s="7" t="inlineStr">
        <is>
          <t>Aprobado</t>
        </is>
      </c>
      <c r="F37" s="6" t="inlineStr">
        <is>
          <t>La consola muestra {"error":"Rol inválido"} y la pestaña Red el código 400.</t>
        </is>
      </c>
      <c r="G37" s="6" t="inlineStr">
        <is>
          <t>EV-CP008-C2-01.png</t>
        </is>
      </c>
      <c r="H37" s="6" t="inlineStr">
        <is>
          <t>—</t>
        </is>
      </c>
    </row>
    <row r="38">
      <c r="A38" s="5" t="inlineStr">
        <is>
          <t>CP-013</t>
        </is>
      </c>
      <c r="B38" s="6" t="n">
        <v>2</v>
      </c>
      <c r="C38" s="6" t="inlineStr">
        <is>
          <t>Chromium (sustituye a Firefox) 141.0.7390.37 · escritorio 1366 px · 693358a (main)</t>
        </is>
      </c>
      <c r="D38" s="6" t="inlineStr">
        <is>
          <t>07/10/2026, 16:14:49 · Script E2 (Playwright)</t>
        </is>
      </c>
      <c r="E38" s="8" t="inlineStr">
        <is>
          <t>Fallido</t>
        </is>
      </c>
      <c r="F38" s="6" t="inlineStr">
        <is>
          <t>Los tres intentos con «Incorrecta123» respondieron 401, 401, 401. El cuarto, con la clave correcta, respondió 200 y abrió «Mi Panel»: no hubo bloqueo.</t>
        </is>
      </c>
      <c r="G38" s="6" t="inlineStr">
        <is>
          <t>EV-CP013-C2-01.png, EV-CP013-C2-02.png</t>
        </is>
      </c>
      <c r="H38" s="6" t="inlineStr">
        <is>
          <t>DEF-04</t>
        </is>
      </c>
    </row>
    <row r="39">
      <c r="A39" s="5" t="inlineStr">
        <is>
          <t>CP-016</t>
        </is>
      </c>
      <c r="B39" s="6" t="n">
        <v>2</v>
      </c>
      <c r="C39" s="6" t="inlineStr">
        <is>
          <t>Chromium (sustituye a Firefox) 141.0.7390.37 · escritorio 1366 px · 693358a (main)</t>
        </is>
      </c>
      <c r="D39" s="6" t="inlineStr">
        <is>
          <t>07/10/2026, 16:15:01 · Script E2 (Playwright)</t>
        </is>
      </c>
      <c r="E39" s="8" t="inlineStr">
        <is>
          <t>Fallido</t>
        </is>
      </c>
      <c r="F39" s="6" t="inlineStr">
        <is>
          <t>POST /api/perfil/estudiante → 200; pasa a «Mi Panel». En pantalla no se ve ningún mensaje: el elemento #tostada tiene el texto «Perfil guardado correctamente» y las clases «tostada tostada--visible», con opacidad calculada 0.</t>
        </is>
      </c>
      <c r="G39" s="6" t="inlineStr">
        <is>
          <t>EV-CP016-C2-01.png</t>
        </is>
      </c>
      <c r="H39" s="6" t="inlineStr">
        <is>
          <t>DEF-13</t>
        </is>
      </c>
    </row>
    <row r="40">
      <c r="A40" s="5" t="inlineStr">
        <is>
          <t>CP-017</t>
        </is>
      </c>
      <c r="B40" s="6" t="n">
        <v>2</v>
      </c>
      <c r="C40" s="6" t="inlineStr">
        <is>
          <t>Chromium (sustituye a Firefox) 141.0.7390.37 · escritorio 1366 px · 693358a (main)</t>
        </is>
      </c>
      <c r="D40" s="6" t="inlineStr">
        <is>
          <t>07/10/2026, 16:15:06 · Script E2 (Playwright)</t>
        </is>
      </c>
      <c r="E40" s="8" t="inlineStr">
        <is>
          <t>Fallido</t>
        </is>
      </c>
      <c r="F40"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40" s="6" t="inlineStr">
        <is>
          <t>EV-CP017-C2-01.png</t>
        </is>
      </c>
      <c r="H40" s="6" t="inlineStr">
        <is>
          <t>DEF-03</t>
        </is>
      </c>
    </row>
    <row r="41">
      <c r="A41" s="5" t="inlineStr">
        <is>
          <t>CP-018</t>
        </is>
      </c>
      <c r="B41" s="6" t="n">
        <v>2</v>
      </c>
      <c r="C41" s="6" t="inlineStr">
        <is>
          <t>Chromium (sustituye a Firefox) 141.0.7390.37 · escritorio 1366 px · 693358a (main)</t>
        </is>
      </c>
      <c r="D41" s="6" t="inlineStr">
        <is>
          <t>07/10/2026, 16:15:10 · Script E2 (Playwright)</t>
        </is>
      </c>
      <c r="E41" s="7" t="inlineStr">
        <is>
          <t>Aprobado</t>
        </is>
      </c>
      <c r="F41" s="6" t="inlineStr">
        <is>
          <t>Respuesta 403 {"error":"No tienes permiso para esto"}.</t>
        </is>
      </c>
      <c r="G41" s="6" t="inlineStr">
        <is>
          <t>EV-CP018-C2-01.png</t>
        </is>
      </c>
      <c r="H41" s="6" t="inlineStr">
        <is>
          <t>—</t>
        </is>
      </c>
    </row>
    <row r="42">
      <c r="A42" s="5" t="inlineStr">
        <is>
          <t>CP-019</t>
        </is>
      </c>
      <c r="B42" s="6" t="n">
        <v>2</v>
      </c>
      <c r="C42" s="6" t="inlineStr">
        <is>
          <t>Chromium (sustituye a Firefox) 141.0.7390.37 · escritorio 1366 px · 693358a (main)</t>
        </is>
      </c>
      <c r="D42" s="6" t="inlineStr">
        <is>
          <t>07/10/2026, 16:15:12 · Script E2 (Playwright)</t>
        </is>
      </c>
      <c r="E42" s="7" t="inlineStr">
        <is>
          <t>Aprobado</t>
        </is>
      </c>
      <c r="F42" s="6" t="inlineStr">
        <is>
          <t>Con la fecha 07/10/2026 y la hora 23:00, bajo la fecha aparece «La fecha debe ser a partir de mañana (RN06)» y no se envía nada al servidor.</t>
        </is>
      </c>
      <c r="G42" s="6" t="inlineStr">
        <is>
          <t>EV-CP019-C2-01.png</t>
        </is>
      </c>
      <c r="H42" s="6" t="inlineStr">
        <is>
          <t>—</t>
        </is>
      </c>
    </row>
    <row r="43">
      <c r="A43" s="5" t="inlineStr">
        <is>
          <t>CP-020</t>
        </is>
      </c>
      <c r="B43" s="6" t="n">
        <v>2</v>
      </c>
      <c r="C43" s="6" t="inlineStr">
        <is>
          <t>Chromium (sustituye a Firefox) 141.0.7390.37 · escritorio 1366 px · 693358a (main)</t>
        </is>
      </c>
      <c r="D43" s="6" t="inlineStr">
        <is>
          <t>07/10/2026, 16:15:20 · Script E2 (Playwright)</t>
        </is>
      </c>
      <c r="E43" s="7" t="inlineStr">
        <is>
          <t>Aprobado</t>
        </is>
      </c>
      <c r="F43" s="6" t="inlineStr">
        <is>
          <t>Con la fecha 06/10/2026 y la hora 10:00, bajo la fecha aparece «La fecha debe ser a partir de mañana (RN06)» y no se envía nada al servidor.</t>
        </is>
      </c>
      <c r="G43" s="6" t="inlineStr">
        <is>
          <t>EV-CP020-C2-01.png</t>
        </is>
      </c>
      <c r="H43" s="6" t="inlineStr">
        <is>
          <t>—</t>
        </is>
      </c>
    </row>
    <row r="44">
      <c r="A44" s="5" t="inlineStr">
        <is>
          <t>CP-021</t>
        </is>
      </c>
      <c r="B44" s="6" t="n">
        <v>2</v>
      </c>
      <c r="C44" s="6" t="inlineStr">
        <is>
          <t>Chromium (sustituye a Firefox) 141.0.7390.37 · escritorio 1366 px · 693358a (main)</t>
        </is>
      </c>
      <c r="D44" s="6" t="inlineStr">
        <is>
          <t>07/10/2026, 16:15:28 · Script E2 (Playwright)</t>
        </is>
      </c>
      <c r="E44" s="7" t="inlineStr">
        <is>
          <t>Aprobado</t>
        </is>
      </c>
      <c r="F44" s="6" t="inlineStr">
        <is>
          <t>Respuesta 404 {"error":"Docente no encontrado o inactivo"}; al recargar, la página carga normal y el servidor sigue arriba.</t>
        </is>
      </c>
      <c r="G44" s="6" t="inlineStr">
        <is>
          <t>EV-CP021-C2-01.png</t>
        </is>
      </c>
      <c r="H44" s="6" t="inlineStr">
        <is>
          <t>—</t>
        </is>
      </c>
    </row>
    <row r="45">
      <c r="A45" s="5" t="inlineStr">
        <is>
          <t>CP-022</t>
        </is>
      </c>
      <c r="B45" s="6" t="n">
        <v>2</v>
      </c>
      <c r="C45" s="6" t="inlineStr">
        <is>
          <t>Chromium (sustituye a Firefox) 141.0.7390.37 · escritorio 1366 px · 693358a (main)</t>
        </is>
      </c>
      <c r="D45" s="6" t="inlineStr">
        <is>
          <t>07/10/2026, 16:15:32 · Script E2 (Playwright)</t>
        </is>
      </c>
      <c r="E45" s="7" t="inlineStr">
        <is>
          <t>Aprobado</t>
        </is>
      </c>
      <c r="F45" s="6" t="inlineStr">
        <is>
          <t>Preparación: sgarcia programó con Carlos Peña Ochoa el 11/03/2027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45" s="6" t="inlineStr">
        <is>
          <t>EV-CP022-C2-01.png</t>
        </is>
      </c>
      <c r="H45" s="6" t="inlineStr">
        <is>
          <t>—</t>
        </is>
      </c>
    </row>
    <row r="46">
      <c r="A46" s="5" t="inlineStr">
        <is>
          <t>CP-024</t>
        </is>
      </c>
      <c r="B46" s="6" t="n">
        <v>2</v>
      </c>
      <c r="C46" s="6" t="inlineStr">
        <is>
          <t>Chromium (sustituye a Firefox) 141.0.7390.37 · escritorio 1366 px · 693358a (main)</t>
        </is>
      </c>
      <c r="D46" s="6" t="inlineStr">
        <is>
          <t>07/10/2026, 16:15:43 · Script E2 (Playwright)</t>
        </is>
      </c>
      <c r="E46" s="8" t="inlineStr">
        <is>
          <t>Fallido</t>
        </is>
      </c>
      <c r="F46" s="6" t="inlineStr">
        <is>
          <t>Preparación: tutoría con Juan Salazar Bedoya el 08/10/2026 a las 04:15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46" s="6" t="inlineStr">
        <is>
          <t>EV-CP024-C2-01.png</t>
        </is>
      </c>
      <c r="H46" s="6" t="inlineStr">
        <is>
          <t>DEF-13</t>
        </is>
      </c>
    </row>
    <row r="47">
      <c r="A47" s="5" t="inlineStr">
        <is>
          <t>CP-025</t>
        </is>
      </c>
      <c r="B47" s="6" t="n">
        <v>2</v>
      </c>
      <c r="C47" s="6" t="inlineStr">
        <is>
          <t>Chromium (sustituye a Firefox) 141.0.7390.37 · escritorio 1366 px · 693358a (main)</t>
        </is>
      </c>
      <c r="D47" s="6" t="inlineStr">
        <is>
          <t>07/10/2026, 16:15:49 · Script E2 (Playwright)</t>
        </is>
      </c>
      <c r="E47" s="8" t="inlineStr">
        <is>
          <t>Fallido</t>
        </is>
      </c>
      <c r="F47" s="6" t="inlineStr">
        <is>
          <t>Preparación: tutoría con Laura Vargas Suárez el 08/10/2026 a las 18:15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47" s="6" t="inlineStr">
        <is>
          <t>EV-CP025-C2-01.png</t>
        </is>
      </c>
      <c r="H47" s="6" t="inlineStr">
        <is>
          <t>DEF-08</t>
        </is>
      </c>
    </row>
    <row r="48">
      <c r="A48" s="5" t="inlineStr">
        <is>
          <t>CP-031</t>
        </is>
      </c>
      <c r="B48" s="6" t="n">
        <v>2</v>
      </c>
      <c r="C48" s="6" t="inlineStr">
        <is>
          <t>Chromium (sustituye a Firefox) 141.0.7390.37 · escritorio 1366 px · 693358a (main)</t>
        </is>
      </c>
      <c r="D48" s="6" t="inlineStr">
        <is>
          <t>07/10/2026, 16:15:56 · Script E2 (Playwright)</t>
        </is>
      </c>
      <c r="E48" s="8" t="inlineStr">
        <is>
          <t>Fallido</t>
        </is>
      </c>
      <c r="F48" s="6" t="inlineStr">
        <is>
          <t>Preparación: se desactivó a Valentina Osorio. Estudiantes + Activos + «»: 13 filas visibles de 18 esperadas; sobran vosorio@amigo.edu.co; faltan perfil.c2@amigo.edu.co, perfil.c1@amigo.edu.co, lcano@amigo.edu.co, dmontoya@amigo.edu.co, malvarez@amigo.edu.co, lramirez@amigo.edu.co; contador «Mostrando 13 usuario(s)». Docentes + Inactivos + «Peña»: 0 filas visibles de 0 esperadas; contador «Mostrando 0 usuario(s)». Administradores + Activos + «zzz»: 0 filas visibles de 0 esperadas; contador «Mostrando 0 usuario(s)». Al final se reactivó la cuenta.</t>
        </is>
      </c>
      <c r="G48" s="6" t="inlineStr">
        <is>
          <t>EV-CP031-C2-01.png, EV-CP031-C2-02.png, EV-CP031-C2-03.png</t>
        </is>
      </c>
      <c r="H48" s="6" t="inlineStr">
        <is>
          <t>DEF-11</t>
        </is>
      </c>
    </row>
    <row r="49">
      <c r="A49" s="5" t="inlineStr">
        <is>
          <t>CP-032</t>
        </is>
      </c>
      <c r="B49" s="6" t="n">
        <v>2</v>
      </c>
      <c r="C49" s="6" t="inlineStr">
        <is>
          <t>Chromium (sustituye a Firefox) 141.0.7390.37 · escritorio 1366 px · 693358a (main)</t>
        </is>
      </c>
      <c r="D49" s="6" t="inlineStr">
        <is>
          <t>07/10/2026, 16:16:02 · Script E2 (Playwright)</t>
        </is>
      </c>
      <c r="E49" s="8" t="inlineStr">
        <is>
          <t>Fallido</t>
        </is>
      </c>
      <c r="F49" s="6" t="inlineStr">
        <is>
          <t>La asesoría con fecha de hoy (07/10/2026 18:14) se crea: POST → 200 {"mensaje":"Asesoría creada. Se notificó a Sandra Ríos Montoya y a Camilo Ríos Zapata.","tutoria_id":12}. Aparece en «Sesiones Programadas».</t>
        </is>
      </c>
      <c r="G49" s="6" t="inlineStr">
        <is>
          <t>EV-CP032-C2-01.png</t>
        </is>
      </c>
      <c r="H49" s="6" t="inlineStr">
        <is>
          <t>DEF-02</t>
        </is>
      </c>
    </row>
    <row r="50">
      <c r="A50" s="5" t="inlineStr">
        <is>
          <t>CP-033</t>
        </is>
      </c>
      <c r="B50" s="6" t="n">
        <v>2</v>
      </c>
      <c r="C50" s="6" t="inlineStr">
        <is>
          <t>Chromium (sustituye a Firefox) 141.0.7390.37 · escritorio 1366 px · 693358a (main)</t>
        </is>
      </c>
      <c r="D50" s="6" t="inlineStr">
        <is>
          <t>07/10/2026, 16:16:07 · Script E2 (Playwright)</t>
        </is>
      </c>
      <c r="E50" s="8" t="inlineStr">
        <is>
          <t>Fallido</t>
        </is>
      </c>
      <c r="F50" s="6" t="inlineStr">
        <is>
          <t>Primera (Andrés López Castillo): 201. Segunda (Sandra Ríos Montoya, misma fecha y hora): 201 {"mensaje":"Tutoría programada","id":14}. En «Mis Tutorías Programadas» hay 2 tarjeta(s) el 02/04/2027 a las 09:00.</t>
        </is>
      </c>
      <c r="G50" s="6" t="inlineStr">
        <is>
          <t>EV-CP033-C2-01.png</t>
        </is>
      </c>
      <c r="H50" s="6" t="inlineStr">
        <is>
          <t>DEF-09</t>
        </is>
      </c>
    </row>
    <row r="51">
      <c r="A51" s="5" t="inlineStr">
        <is>
          <t>CP-034</t>
        </is>
      </c>
      <c r="B51" s="6" t="n">
        <v>2</v>
      </c>
      <c r="C51" s="6" t="inlineStr">
        <is>
          <t>Chromium (sustituye a Firefox) 141.0.7390.37 · escritorio 1366 px · 693358a (main)</t>
        </is>
      </c>
      <c r="D51" s="6" t="inlineStr">
        <is>
          <t>07/10/2026, 16:16:14 · Script E2 (Playwright)</t>
        </is>
      </c>
      <c r="E51" s="8" t="inlineStr">
        <is>
          <t>Fallido</t>
        </is>
      </c>
      <c r="F51" s="6" t="inlineStr">
        <is>
          <t>A los 16 minutos sin actividad la sesión sigue abierta (token presente). «Programar Tutoría» abre normalmente y, al recargar, la aplicación vuelve al panel con la sesión activa. El tiempo se simuló adelantando el reloj del navegador.</t>
        </is>
      </c>
      <c r="G51" s="6" t="inlineStr">
        <is>
          <t>EV-CP034-C2-01.png, EV-CP034-C2-02.png, EV-CP034-C2-03.png</t>
        </is>
      </c>
      <c r="H51" s="6" t="inlineStr">
        <is>
          <t>DEF-01</t>
        </is>
      </c>
    </row>
  </sheetData>
  <autoFilter ref="A1:H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9" customWidth="1" min="1" max="1"/>
    <col width="60" customWidth="1" min="2" max="2"/>
    <col width="14" customWidth="1" min="3" max="3"/>
    <col width="11" customWidth="1" min="4" max="4"/>
    <col width="11" customWidth="1" min="5" max="5"/>
    <col width="16" customWidth="1" min="6" max="6"/>
    <col width="12" customWidth="1" min="7" max="7"/>
    <col width="22" customWidth="1" min="8" max="8"/>
    <col width="24" customWidth="1" min="9" max="9"/>
    <col width="24" customWidth="1" min="10" max="10"/>
    <col width="26" customWidth="1" min="11" max="11"/>
  </cols>
  <sheetData>
    <row r="1" ht="28" customHeight="1">
      <c r="A1" s="4" t="inlineStr">
        <is>
          <t>ID</t>
        </is>
      </c>
      <c r="B1" s="4" t="inlineStr">
        <is>
          <t>Título</t>
        </is>
      </c>
      <c r="C1" s="4" t="inlineStr">
        <is>
          <t>Requisito</t>
        </is>
      </c>
      <c r="D1" s="4" t="inlineStr">
        <is>
          <t>Severidad</t>
        </is>
      </c>
      <c r="E1" s="4" t="inlineStr">
        <is>
          <t>Prioridad</t>
        </is>
      </c>
      <c r="F1" s="4" t="inlineStr">
        <is>
          <t>Origen</t>
        </is>
      </c>
      <c r="G1" s="4" t="inlineStr">
        <is>
          <t>Estado</t>
        </is>
      </c>
      <c r="H1" s="4" t="inlineStr">
        <is>
          <t>Frecuencia</t>
        </is>
      </c>
      <c r="I1" s="4" t="inlineStr">
        <is>
          <t>Reportado por</t>
        </is>
      </c>
      <c r="J1" s="4" t="inlineStr">
        <is>
          <t>Reproducido por</t>
        </is>
      </c>
      <c r="K1" s="4" t="inlineStr">
        <is>
          <t>Evidencia</t>
        </is>
      </c>
    </row>
    <row r="2">
      <c r="A2" s="5" t="inlineStr">
        <is>
          <t>DEF-01</t>
        </is>
      </c>
      <c r="B2" s="6" t="inlineStr">
        <is>
          <t>La sesión sigue abierta después de 16 minutos sin actividad; solo se cierra a las 2 horas, y únicamente al recargar</t>
        </is>
      </c>
      <c r="C2" s="6" t="inlineStr">
        <is>
          <t>RNF02</t>
        </is>
      </c>
      <c r="D2" s="6" t="inlineStr">
        <is>
          <t>Alta</t>
        </is>
      </c>
      <c r="E2" s="6" t="inlineStr">
        <is>
          <t>Alta</t>
        </is>
      </c>
      <c r="F2" s="6" t="inlineStr">
        <is>
          <t>SE-01 · CP-034</t>
        </is>
      </c>
      <c r="G2" s="6" t="inlineStr">
        <is>
          <t>Abierto</t>
        </is>
      </c>
      <c r="H2" s="6" t="inlineStr">
        <is>
          <t>3 de 3 intentos (resultado estable en los ciclos 1 y 2)</t>
        </is>
      </c>
      <c r="I2" s="6" t="inlineStr">
        <is>
          <t>Esteban Palencia</t>
        </is>
      </c>
      <c r="J2" s="6" t="inlineStr">
        <is>
          <t>Sebastián González González</t>
        </is>
      </c>
      <c r="K2" s="6" t="inlineStr">
        <is>
          <t>EV-CP034-C1-01.png, EV-CP034-C1-02.png, EV-CP034-C1-03.png</t>
        </is>
      </c>
    </row>
    <row r="3">
      <c r="A3" s="5" t="inlineStr">
        <is>
          <t>DEF-02</t>
        </is>
      </c>
      <c r="B3" s="6" t="inlineStr">
        <is>
          <t>El administrador programa una asesoría con fecha de hoy, y por la API también con fechas pasadas</t>
        </is>
      </c>
      <c r="C3" s="6" t="inlineStr">
        <is>
          <t>R5 · RRN06</t>
        </is>
      </c>
      <c r="D3" s="6" t="inlineStr">
        <is>
          <t>Media</t>
        </is>
      </c>
      <c r="E3" s="6" t="inlineStr">
        <is>
          <t>Alta</t>
        </is>
      </c>
      <c r="F3" s="6" t="inlineStr">
        <is>
          <t>CP-032</t>
        </is>
      </c>
      <c r="G3" s="6" t="inlineStr">
        <is>
          <t>Abierto</t>
        </is>
      </c>
      <c r="H3" s="6" t="inlineStr">
        <is>
          <t>3 de 3 intentos (resultado estable en los ciclos 1 y 2)</t>
        </is>
      </c>
      <c r="I3" s="6" t="inlineStr">
        <is>
          <t>Esteban Palencia</t>
        </is>
      </c>
      <c r="J3" s="6" t="inlineStr">
        <is>
          <t>Sebastián González González</t>
        </is>
      </c>
      <c r="K3" s="6" t="inlineStr">
        <is>
          <t>EV-CP032-C1-01.png</t>
        </is>
      </c>
    </row>
    <row r="4">
      <c r="A4" s="5" t="inlineStr">
        <is>
          <t>DEF-03</t>
        </is>
      </c>
      <c r="B4" s="6" t="inlineStr">
        <is>
          <t>La foto de 2,5 MB no se rechaza: la interfaz la reduce y la guarda sin avisar del límite de 2 MB</t>
        </is>
      </c>
      <c r="C4" s="6" t="inlineStr">
        <is>
          <t>R4 · RF036</t>
        </is>
      </c>
      <c r="D4" s="6" t="inlineStr">
        <is>
          <t>Baja</t>
        </is>
      </c>
      <c r="E4" s="6" t="inlineStr">
        <is>
          <t>Baja</t>
        </is>
      </c>
      <c r="F4" s="6" t="inlineStr">
        <is>
          <t>CP-017</t>
        </is>
      </c>
      <c r="G4" s="6" t="inlineStr">
        <is>
          <t>Abierto</t>
        </is>
      </c>
      <c r="H4" s="6" t="inlineStr">
        <is>
          <t>3 de 3 intentos (resultado estable en los ciclos 1 y 2)</t>
        </is>
      </c>
      <c r="I4" s="6" t="inlineStr">
        <is>
          <t>Sebastián González González</t>
        </is>
      </c>
      <c r="J4" s="6" t="inlineStr">
        <is>
          <t>Esteban Palencia</t>
        </is>
      </c>
      <c r="K4" s="6" t="inlineStr">
        <is>
          <t>EV-CP017-C1-01.png</t>
        </is>
      </c>
    </row>
    <row r="5">
      <c r="A5" s="5" t="inlineStr">
        <is>
          <t>DEF-04</t>
        </is>
      </c>
      <c r="B5" s="6" t="inlineStr">
        <is>
          <t>El acceso se bloquea después de cinco intentos fallidos y no después de tres</t>
        </is>
      </c>
      <c r="C5" s="6" t="inlineStr">
        <is>
          <t>R2 · RRN01</t>
        </is>
      </c>
      <c r="D5" s="6" t="inlineStr">
        <is>
          <t>Baja</t>
        </is>
      </c>
      <c r="E5" s="6" t="inlineStr">
        <is>
          <t>Media</t>
        </is>
      </c>
      <c r="F5" s="6" t="inlineStr">
        <is>
          <t>CP-013</t>
        </is>
      </c>
      <c r="G5" s="6" t="inlineStr">
        <is>
          <t>Abierto</t>
        </is>
      </c>
      <c r="H5" s="6" t="inlineStr">
        <is>
          <t>3 de 3 intentos (resultado estable en los ciclos 1 y 2)</t>
        </is>
      </c>
      <c r="I5" s="6" t="inlineStr">
        <is>
          <t>Esteban Palencia</t>
        </is>
      </c>
      <c r="J5" s="6" t="inlineStr">
        <is>
          <t>Sebastián González González</t>
        </is>
      </c>
      <c r="K5" s="6" t="inlineStr">
        <is>
          <t>EV-CP013-C1-01.png, EV-CP013-C1-02.png</t>
        </is>
      </c>
    </row>
    <row r="6">
      <c r="A6" s="5" t="inlineStr">
        <is>
          <t>DEF-05</t>
        </is>
      </c>
      <c r="B6" s="6" t="inlineStr">
        <is>
          <t>El HTML escrito en las observaciones de una tutoría se ejecutaba al abrir ese día en el calendario</t>
        </is>
      </c>
      <c r="C6" s="6" t="inlineStr">
        <is>
          <t>R5 · RNF06</t>
        </is>
      </c>
      <c r="D6" s="6" t="inlineStr">
        <is>
          <t>Crítica</t>
        </is>
      </c>
      <c r="E6" s="6" t="inlineStr">
        <is>
          <t>Alta</t>
        </is>
      </c>
      <c r="F6" s="6" t="inlineStr">
        <is>
          <t>SE-02</t>
        </is>
      </c>
      <c r="G6" s="6" t="inlineStr">
        <is>
          <t>Verificado</t>
        </is>
      </c>
      <c r="H6" s="6" t="inlineStr">
        <is>
          <t>3 de 3 intentos (comportamiento estable)</t>
        </is>
      </c>
      <c r="I6" s="6" t="inlineStr">
        <is>
          <t>Sebastián González González</t>
        </is>
      </c>
      <c r="J6" s="6" t="inlineStr">
        <is>
          <t>Esteban Palencia</t>
        </is>
      </c>
      <c r="K6" s="6" t="inlineStr">
        <is>
          <t>EV-DEF05-C1-01.png</t>
        </is>
      </c>
    </row>
    <row r="7">
      <c r="A7" s="5" t="inlineStr">
        <is>
          <t>DEF-06</t>
        </is>
      </c>
      <c r="B7" s="6" t="inlineStr">
        <is>
          <t>Una tutoría cancelada pasa a «completada» si el docente la marca como realizada por la API</t>
        </is>
      </c>
      <c r="C7" s="6" t="inlineStr">
        <is>
          <t>R6</t>
        </is>
      </c>
      <c r="D7" s="6" t="inlineStr">
        <is>
          <t>Media</t>
        </is>
      </c>
      <c r="E7" s="6" t="inlineStr">
        <is>
          <t>Media</t>
        </is>
      </c>
      <c r="F7" s="6" t="inlineStr">
        <is>
          <t>SE-02</t>
        </is>
      </c>
      <c r="G7" s="6" t="inlineStr">
        <is>
          <t>Abierto</t>
        </is>
      </c>
      <c r="H7" s="6" t="inlineStr">
        <is>
          <t>3 de 3 intentos</t>
        </is>
      </c>
      <c r="I7" s="6" t="inlineStr">
        <is>
          <t>Sebastián González González</t>
        </is>
      </c>
      <c r="J7" s="6" t="inlineStr">
        <is>
          <t>Esteban Palencia</t>
        </is>
      </c>
      <c r="K7" s="6" t="inlineStr">
        <is>
          <t>EV-DEF06-C1-01.png</t>
        </is>
      </c>
    </row>
    <row r="8">
      <c r="A8" s="5" t="inlineStr">
        <is>
          <t>DEF-07</t>
        </is>
      </c>
      <c r="B8" s="6" t="inlineStr">
        <is>
          <t>Las contraseñas se ven en claro en «Nuevo usuario» y «Editar usuario», y la primera trae «Cambiar123» escrita</t>
        </is>
      </c>
      <c r="C8" s="6" t="inlineStr">
        <is>
          <t>R7 · RNF05</t>
        </is>
      </c>
      <c r="D8" s="6" t="inlineStr">
        <is>
          <t>Media</t>
        </is>
      </c>
      <c r="E8" s="6" t="inlineStr">
        <is>
          <t>Alta</t>
        </is>
      </c>
      <c r="F8" s="6" t="inlineStr">
        <is>
          <t>SE-01</t>
        </is>
      </c>
      <c r="G8" s="6" t="inlineStr">
        <is>
          <t>Abierto</t>
        </is>
      </c>
      <c r="H8" s="6" t="inlineStr">
        <is>
          <t>3 de 3 intentos</t>
        </is>
      </c>
      <c r="I8" s="6" t="inlineStr">
        <is>
          <t>Esteban Palencia</t>
        </is>
      </c>
      <c r="J8" s="6" t="inlineStr">
        <is>
          <t>Sebastián González González</t>
        </is>
      </c>
      <c r="K8" s="6" t="inlineStr">
        <is>
          <t>EV-DEF07-C1-01.png</t>
        </is>
      </c>
    </row>
    <row r="9">
      <c r="A9" s="5" t="inlineStr">
        <is>
          <t>DEF-08</t>
        </is>
      </c>
      <c r="B9" s="6" t="inlineStr">
        <is>
          <t>La regla de 24 horas para cancelar se calcula con 5 horas de diferencia: con 26 h de margen dice que faltan 21</t>
        </is>
      </c>
      <c r="C9" s="6" t="inlineStr">
        <is>
          <t>R6</t>
        </is>
      </c>
      <c r="D9" s="6" t="inlineStr">
        <is>
          <t>Alta</t>
        </is>
      </c>
      <c r="E9" s="6" t="inlineStr">
        <is>
          <t>Alta</t>
        </is>
      </c>
      <c r="F9" s="6" t="inlineStr">
        <is>
          <t>CP-025</t>
        </is>
      </c>
      <c r="G9" s="6" t="inlineStr">
        <is>
          <t>Abierto</t>
        </is>
      </c>
      <c r="H9" s="6" t="inlineStr">
        <is>
          <t>3 de 3 intentos (resultado estable en los ciclos 1 y 2)</t>
        </is>
      </c>
      <c r="I9" s="6" t="inlineStr">
        <is>
          <t>Sebastián González González</t>
        </is>
      </c>
      <c r="J9" s="6" t="inlineStr">
        <is>
          <t>Esteban Palencia</t>
        </is>
      </c>
      <c r="K9" s="6" t="inlineStr">
        <is>
          <t>EV-CP025-C1-01.png</t>
        </is>
      </c>
    </row>
    <row r="10">
      <c r="A10" s="5" t="inlineStr">
        <is>
          <t>DEF-09</t>
        </is>
      </c>
      <c r="B10" s="6" t="inlineStr">
        <is>
          <t>Un estudiante queda con dos tutorías a la misma fecha y hora con docentes distintos</t>
        </is>
      </c>
      <c r="C10" s="6" t="inlineStr">
        <is>
          <t>R5</t>
        </is>
      </c>
      <c r="D10" s="6" t="inlineStr">
        <is>
          <t>Media</t>
        </is>
      </c>
      <c r="E10" s="6" t="inlineStr">
        <is>
          <t>Media</t>
        </is>
      </c>
      <c r="F10" s="6" t="inlineStr">
        <is>
          <t>CP-033</t>
        </is>
      </c>
      <c r="G10" s="6" t="inlineStr">
        <is>
          <t>Abierto</t>
        </is>
      </c>
      <c r="H10" s="6" t="inlineStr">
        <is>
          <t>3 de 3 intentos (resultado estable en los ciclos 1 y 2)</t>
        </is>
      </c>
      <c r="I10" s="6" t="inlineStr">
        <is>
          <t>Esteban Palencia</t>
        </is>
      </c>
      <c r="J10" s="6" t="inlineStr">
        <is>
          <t>Sebastián González González</t>
        </is>
      </c>
      <c r="K10" s="6" t="inlineStr">
        <is>
          <t>EV-CP033-C1-01.png</t>
        </is>
      </c>
    </row>
    <row r="11">
      <c r="A11" s="5" t="inlineStr">
        <is>
          <t>DEF-10</t>
        </is>
      </c>
      <c r="B11" s="6" t="inlineStr">
        <is>
          <t>La API guarda tutorías con fechas y horas que no existen («2027-13-45», «mañana», «25:99»)</t>
        </is>
      </c>
      <c r="C11" s="6" t="inlineStr">
        <is>
          <t>R5</t>
        </is>
      </c>
      <c r="D11" s="6" t="inlineStr">
        <is>
          <t>Media</t>
        </is>
      </c>
      <c r="E11" s="6" t="inlineStr">
        <is>
          <t>Baja</t>
        </is>
      </c>
      <c r="F11" s="6" t="inlineStr">
        <is>
          <t>SE-02</t>
        </is>
      </c>
      <c r="G11" s="6" t="inlineStr">
        <is>
          <t>Abierto</t>
        </is>
      </c>
      <c r="H11" s="6" t="inlineStr">
        <is>
          <t>3 de 3 intentos</t>
        </is>
      </c>
      <c r="I11" s="6" t="inlineStr">
        <is>
          <t>Sebastián González González</t>
        </is>
      </c>
      <c r="J11" s="6" t="inlineStr">
        <is>
          <t>Esteban Palencia</t>
        </is>
      </c>
      <c r="K11" s="6" t="inlineStr">
        <is>
          <t>EV-DEF10-C1-01.png</t>
        </is>
      </c>
    </row>
    <row r="12">
      <c r="A12" s="5" t="inlineStr">
        <is>
          <t>DEF-11</t>
        </is>
      </c>
      <c r="B12" s="6" t="inlineStr">
        <is>
          <t>El filtro «Activos» muestra cuentas inactivas y oculta a los estudiantes activos que están en alerta</t>
        </is>
      </c>
      <c r="C12" s="6" t="inlineStr">
        <is>
          <t>R7 · RF049</t>
        </is>
      </c>
      <c r="D12" s="6" t="inlineStr">
        <is>
          <t>Media</t>
        </is>
      </c>
      <c r="E12" s="6" t="inlineStr">
        <is>
          <t>Media</t>
        </is>
      </c>
      <c r="F12" s="6" t="inlineStr">
        <is>
          <t>CP-031</t>
        </is>
      </c>
      <c r="G12" s="6" t="inlineStr">
        <is>
          <t>Abierto</t>
        </is>
      </c>
      <c r="H12" s="6" t="inlineStr">
        <is>
          <t>3 de 3 intentos (resultado estable en los ciclos 1 y 2)</t>
        </is>
      </c>
      <c r="I12" s="6" t="inlineStr">
        <is>
          <t>Sebastián González González</t>
        </is>
      </c>
      <c r="J12" s="6" t="inlineStr">
        <is>
          <t>Esteban Palencia</t>
        </is>
      </c>
      <c r="K12" s="6" t="inlineStr">
        <is>
          <t>EV-CP031-C1-01.png, EV-CP031-C1-02.png, EV-CP031-C1-03.png</t>
        </is>
      </c>
    </row>
    <row r="13">
      <c r="A13" s="5" t="inlineStr">
        <is>
          <t>DEF-12</t>
        </is>
      </c>
      <c r="B13" s="6" t="inlineStr">
        <is>
          <t>La auditoría y el historial de notificaciones muestran la hora 5 horas adelantada</t>
        </is>
      </c>
      <c r="C13" s="6" t="inlineStr">
        <is>
          <t>R8</t>
        </is>
      </c>
      <c r="D13" s="6" t="inlineStr">
        <is>
          <t>Media</t>
        </is>
      </c>
      <c r="E13" s="6" t="inlineStr">
        <is>
          <t>Media</t>
        </is>
      </c>
      <c r="F13" s="6" t="inlineStr">
        <is>
          <t>CP-029</t>
        </is>
      </c>
      <c r="G13" s="6" t="inlineStr">
        <is>
          <t>Abierto</t>
        </is>
      </c>
      <c r="H13" s="6" t="inlineStr">
        <is>
          <t>3 de 3 intentos (resultado estable en los ciclos 1 y 2)</t>
        </is>
      </c>
      <c r="I13" s="6" t="inlineStr">
        <is>
          <t>Sebastián González González</t>
        </is>
      </c>
      <c r="J13" s="6" t="inlineStr">
        <is>
          <t>Esteban Palencia</t>
        </is>
      </c>
      <c r="K13" s="6" t="inlineStr">
        <is>
          <t>EV-CP029-C1-01.png</t>
        </is>
      </c>
    </row>
    <row r="14">
      <c r="A14" s="5" t="inlineStr">
        <is>
          <t>DEF-13</t>
        </is>
      </c>
      <c r="B14" s="6" t="inlineStr">
        <is>
          <t>Los mensajes emergentes se generan pero nunca se ven: el usuario no recibe confirmaciones ni errores</t>
        </is>
      </c>
      <c r="C14" s="6" t="inlineStr">
        <is>
          <t>RF028 · transversal</t>
        </is>
      </c>
      <c r="D14" s="6" t="inlineStr">
        <is>
          <t>Media</t>
        </is>
      </c>
      <c r="E14" s="6" t="inlineStr">
        <is>
          <t>Alta</t>
        </is>
      </c>
      <c r="F14" s="6" t="inlineStr">
        <is>
          <t>CP-016 · CP-024</t>
        </is>
      </c>
      <c r="G14" s="6" t="inlineStr">
        <is>
          <t>Abierto</t>
        </is>
      </c>
      <c r="H14" s="6" t="inlineStr">
        <is>
          <t>3 de 3 intentos (resultado estable en los ciclos 1 y 2)</t>
        </is>
      </c>
      <c r="I14" s="6" t="inlineStr">
        <is>
          <t>Sebastián González González</t>
        </is>
      </c>
      <c r="J14" s="6" t="inlineStr">
        <is>
          <t>Esteban Palencia</t>
        </is>
      </c>
      <c r="K14" s="6" t="inlineStr">
        <is>
          <t>EV-CP016-C1-01.png</t>
        </is>
      </c>
    </row>
    <row r="15">
      <c r="A15" s="5" t="inlineStr">
        <is>
          <t>DEF-14</t>
        </is>
      </c>
      <c r="B15" s="6" t="inlineStr">
        <is>
          <t>El estudiante que deja vacío el promedio queda con 0 y recibe alertas académicas, aunque su panel dice «Sin alertas»</t>
        </is>
      </c>
      <c r="C15" s="6" t="inlineStr">
        <is>
          <t>R4 · RRN07</t>
        </is>
      </c>
      <c r="D15" s="6" t="inlineStr">
        <is>
          <t>Media</t>
        </is>
      </c>
      <c r="E15" s="6" t="inlineStr">
        <is>
          <t>Media</t>
        </is>
      </c>
      <c r="F15" s="6" t="inlineStr">
        <is>
          <t>SE-01</t>
        </is>
      </c>
      <c r="G15" s="6" t="inlineStr">
        <is>
          <t>Abierto</t>
        </is>
      </c>
      <c r="H15" s="6" t="inlineStr">
        <is>
          <t>3 de 3 intentos</t>
        </is>
      </c>
      <c r="I15" s="6" t="inlineStr">
        <is>
          <t>Esteban Palencia</t>
        </is>
      </c>
      <c r="J15" s="6" t="inlineStr">
        <is>
          <t>Sebastián González González</t>
        </is>
      </c>
      <c r="K15" s="6" t="inlineStr">
        <is>
          <t>EV-DEF14-C1-01.png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16" customWidth="1" min="4" max="4"/>
    <col width="70" customWidth="1" min="5" max="5"/>
  </cols>
  <sheetData>
    <row r="1" ht="28" customHeight="1">
      <c r="A1" s="4" t="inlineStr">
        <is>
          <t>Defecto</t>
        </is>
      </c>
      <c r="B1" s="4" t="inlineStr">
        <is>
          <t>Reportado por</t>
        </is>
      </c>
      <c r="C1" s="4" t="inlineStr">
        <is>
          <t>Reproducido por</t>
        </is>
      </c>
      <c r="D1" s="4" t="inlineStr">
        <is>
          <t>Resultado</t>
        </is>
      </c>
      <c r="E1" s="4" t="inlineStr">
        <is>
          <t>Qué faltó o qué se observó</t>
        </is>
      </c>
    </row>
    <row r="2">
      <c r="A2" s="5" t="inlineStr">
        <is>
          <t>DEF-01</t>
        </is>
      </c>
      <c r="B2" s="6" t="inlineStr">
        <is>
          <t>Esteban Palencia</t>
        </is>
      </c>
      <c r="C2" s="6" t="inlineStr">
        <is>
          <t>Sebastián González González</t>
        </is>
      </c>
      <c r="D2" s="6" t="inlineStr">
        <is>
          <t>Reproducido</t>
        </is>
      </c>
      <c r="E2" s="6" t="inlineStr">
        <is>
          <t>Se siguió el reporte sin ayuda; mismo resultado real.</t>
        </is>
      </c>
    </row>
    <row r="3">
      <c r="A3" s="5" t="inlineStr">
        <is>
          <t>DEF-02</t>
        </is>
      </c>
      <c r="B3" s="6" t="inlineStr">
        <is>
          <t>Esteban Palencia</t>
        </is>
      </c>
      <c r="C3" s="6" t="inlineStr">
        <is>
          <t>Sebastián González González</t>
        </is>
      </c>
      <c r="D3" s="6" t="inlineStr">
        <is>
          <t>Reproducido</t>
        </is>
      </c>
      <c r="E3" s="6" t="inlineStr">
        <is>
          <t>Se siguió el reporte sin ayuda; mismo resultado real.</t>
        </is>
      </c>
    </row>
    <row r="4">
      <c r="A4" s="5" t="inlineStr">
        <is>
          <t>DEF-03</t>
        </is>
      </c>
      <c r="B4" s="6" t="inlineStr">
        <is>
          <t>Sebastián González González</t>
        </is>
      </c>
      <c r="C4" s="6" t="inlineStr">
        <is>
          <t>Esteban Palencia</t>
        </is>
      </c>
      <c r="D4" s="6" t="inlineStr">
        <is>
          <t>Reproducido</t>
        </is>
      </c>
      <c r="E4" s="6" t="inlineStr">
        <is>
          <t>Se siguió el reporte sin ayuda; mismo resultado real.</t>
        </is>
      </c>
    </row>
    <row r="5">
      <c r="A5" s="5" t="inlineStr">
        <is>
          <t>DEF-04</t>
        </is>
      </c>
      <c r="B5" s="6" t="inlineStr">
        <is>
          <t>Esteban Palencia</t>
        </is>
      </c>
      <c r="C5" s="6" t="inlineStr">
        <is>
          <t>Sebastián González González</t>
        </is>
      </c>
      <c r="D5" s="6" t="inlineStr">
        <is>
          <t>Reproducido</t>
        </is>
      </c>
      <c r="E5" s="6" t="inlineStr">
        <is>
          <t>Se siguió el reporte sin ayuda; mismo resultado real.</t>
        </is>
      </c>
    </row>
    <row r="6">
      <c r="A6" s="5" t="inlineStr">
        <is>
          <t>DEF-05</t>
        </is>
      </c>
      <c r="B6" s="6" t="inlineStr">
        <is>
          <t>Sebastián González González</t>
        </is>
      </c>
      <c r="C6" s="6" t="inlineStr">
        <is>
          <t>Esteban Palencia</t>
        </is>
      </c>
      <c r="D6" s="6" t="inlineStr">
        <is>
          <t>Reproducido</t>
        </is>
      </c>
      <c r="E6" s="6" t="inlineStr">
        <is>
          <t>Debe verse corregido: el texto aparece literal y no se ejecuta, igual que en el reporte.</t>
        </is>
      </c>
    </row>
    <row r="7">
      <c r="A7" s="5" t="inlineStr">
        <is>
          <t>DEF-06</t>
        </is>
      </c>
      <c r="B7" s="6" t="inlineStr">
        <is>
          <t>Sebastián González González</t>
        </is>
      </c>
      <c r="C7" s="6" t="inlineStr">
        <is>
          <t>Esteban Palencia</t>
        </is>
      </c>
      <c r="D7" s="6" t="inlineStr">
        <is>
          <t>Reproducido</t>
        </is>
      </c>
      <c r="E7" s="6" t="inlineStr">
        <is>
          <t>Se siguió el reporte sin ayuda; mismo resultado real.</t>
        </is>
      </c>
    </row>
    <row r="8">
      <c r="A8" s="5" t="inlineStr">
        <is>
          <t>DEF-07</t>
        </is>
      </c>
      <c r="B8" s="6" t="inlineStr">
        <is>
          <t>Esteban Palencia</t>
        </is>
      </c>
      <c r="C8" s="6" t="inlineStr">
        <is>
          <t>Sebastián González González</t>
        </is>
      </c>
      <c r="D8" s="6" t="inlineStr">
        <is>
          <t>Reproducido</t>
        </is>
      </c>
      <c r="E8" s="6" t="inlineStr">
        <is>
          <t>Se siguió el reporte sin ayuda; mismo resultado real.</t>
        </is>
      </c>
    </row>
    <row r="9">
      <c r="A9" s="5" t="inlineStr">
        <is>
          <t>DEF-08</t>
        </is>
      </c>
      <c r="B9" s="6" t="inlineStr">
        <is>
          <t>Sebastián González González</t>
        </is>
      </c>
      <c r="C9" s="6" t="inlineStr">
        <is>
          <t>Esteban Palencia</t>
        </is>
      </c>
      <c r="D9" s="6" t="inlineStr">
        <is>
          <t>Reproducido</t>
        </is>
      </c>
      <c r="E9" s="6" t="inlineStr">
        <is>
          <t>Se siguió el reporte sin ayuda; mismo resultado real.</t>
        </is>
      </c>
    </row>
    <row r="10">
      <c r="A10" s="5" t="inlineStr">
        <is>
          <t>DEF-09</t>
        </is>
      </c>
      <c r="B10" s="6" t="inlineStr">
        <is>
          <t>Esteban Palencia</t>
        </is>
      </c>
      <c r="C10" s="6" t="inlineStr">
        <is>
          <t>Sebastián González González</t>
        </is>
      </c>
      <c r="D10" s="6" t="inlineStr">
        <is>
          <t>Reproducido</t>
        </is>
      </c>
      <c r="E10" s="6" t="inlineStr">
        <is>
          <t>Se siguió el reporte sin ayuda; mismo resultado real.</t>
        </is>
      </c>
    </row>
    <row r="11">
      <c r="A11" s="5" t="inlineStr">
        <is>
          <t>DEF-10</t>
        </is>
      </c>
      <c r="B11" s="6" t="inlineStr">
        <is>
          <t>Sebastián González González</t>
        </is>
      </c>
      <c r="C11" s="6" t="inlineStr">
        <is>
          <t>Esteban Palencia</t>
        </is>
      </c>
      <c r="D11" s="6" t="inlineStr">
        <is>
          <t>Reproducido</t>
        </is>
      </c>
      <c r="E11" s="6" t="inlineStr">
        <is>
          <t>Se siguió el reporte sin ayuda; mismo resultado real.</t>
        </is>
      </c>
    </row>
    <row r="12">
      <c r="A12" s="5" t="inlineStr">
        <is>
          <t>DEF-11</t>
        </is>
      </c>
      <c r="B12" s="6" t="inlineStr">
        <is>
          <t>Sebastián González González</t>
        </is>
      </c>
      <c r="C12" s="6" t="inlineStr">
        <is>
          <t>Esteban Palencia</t>
        </is>
      </c>
      <c r="D12" s="6" t="inlineStr">
        <is>
          <t>Reproducido</t>
        </is>
      </c>
      <c r="E12" s="6" t="inlineStr">
        <is>
          <t>Se siguió el reporte sin ayuda; mismo resultado real.</t>
        </is>
      </c>
    </row>
    <row r="13">
      <c r="A13" s="5" t="inlineStr">
        <is>
          <t>DEF-12</t>
        </is>
      </c>
      <c r="B13" s="6" t="inlineStr">
        <is>
          <t>Sebastián González González</t>
        </is>
      </c>
      <c r="C13" s="6" t="inlineStr">
        <is>
          <t>Esteban Palencia</t>
        </is>
      </c>
      <c r="D13" s="6" t="inlineStr">
        <is>
          <t>Reproducido</t>
        </is>
      </c>
      <c r="E13" s="6" t="inlineStr">
        <is>
          <t>Se siguió el reporte sin ayuda; mismo resultado real.</t>
        </is>
      </c>
    </row>
    <row r="14">
      <c r="A14" s="5" t="inlineStr">
        <is>
          <t>DEF-13</t>
        </is>
      </c>
      <c r="B14" s="6" t="inlineStr">
        <is>
          <t>Sebastián González González</t>
        </is>
      </c>
      <c r="C14" s="6" t="inlineStr">
        <is>
          <t>Esteban Palencia</t>
        </is>
      </c>
      <c r="D14" s="6" t="inlineStr">
        <is>
          <t>Reproducido</t>
        </is>
      </c>
      <c r="E14" s="6" t="inlineStr">
        <is>
          <t>Se siguió el reporte sin ayuda; mismo resultado real.</t>
        </is>
      </c>
    </row>
    <row r="15">
      <c r="A15" s="5" t="inlineStr">
        <is>
          <t>DEF-14</t>
        </is>
      </c>
      <c r="B15" s="6" t="inlineStr">
        <is>
          <t>Esteban Palencia</t>
        </is>
      </c>
      <c r="C15" s="6" t="inlineStr">
        <is>
          <t>Sebastián González González</t>
        </is>
      </c>
      <c r="D15" s="6" t="inlineStr">
        <is>
          <t>Reproducido</t>
        </is>
      </c>
      <c r="E15" s="6" t="inlineStr">
        <is>
          <t>Se siguió el reporte sin ayuda; mismo resultado real.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40" customWidth="1" min="1" max="1"/>
    <col width="18" customWidth="1" min="2" max="2"/>
    <col width="26" customWidth="1" min="3" max="3"/>
  </cols>
  <sheetData>
    <row r="1">
      <c r="A1" s="10" t="inlineStr">
        <is>
          <t>Métrica</t>
        </is>
      </c>
      <c r="B1" s="10" t="inlineStr">
        <is>
          <t>Valor</t>
        </is>
      </c>
      <c r="C1" s="10" t="inlineStr">
        <is>
          <t>Meta del plan</t>
        </is>
      </c>
    </row>
    <row r="2">
      <c r="A2" s="11" t="inlineStr">
        <is>
          <t>Cobertura de requisitos</t>
        </is>
      </c>
      <c r="B2" s="11" t="inlineStr">
        <is>
          <t>100 % (8 de 8)</t>
        </is>
      </c>
      <c r="C2" s="11" t="inlineStr">
        <is>
          <t>100 %</t>
        </is>
      </c>
    </row>
    <row r="3">
      <c r="A3" s="11" t="inlineStr">
        <is>
          <t>Casos diseñados</t>
        </is>
      </c>
      <c r="B3" s="11" t="inlineStr">
        <is>
          <t>34</t>
        </is>
      </c>
      <c r="C3" s="11" t="inlineStr">
        <is>
          <t>—</t>
        </is>
      </c>
    </row>
    <row r="4">
      <c r="A4" s="11" t="inlineStr">
        <is>
          <t>Avance de ejecución · ciclo 1</t>
        </is>
      </c>
      <c r="B4" s="11" t="inlineStr">
        <is>
          <t>32/34 ejecutables (100 %)</t>
        </is>
      </c>
      <c r="C4" s="11" t="inlineStr">
        <is>
          <t>100 % de prioridad alta</t>
        </is>
      </c>
    </row>
    <row r="5">
      <c r="A5" s="11" t="inlineStr">
        <is>
          <t>Aprobados · ciclo 1</t>
        </is>
      </c>
      <c r="B5" s="11" t="inlineStr">
        <is>
          <t>23</t>
        </is>
      </c>
      <c r="C5" s="11" t="inlineStr">
        <is>
          <t>Se lee con el riesgo</t>
        </is>
      </c>
    </row>
    <row r="6">
      <c r="A6" s="11" t="inlineStr">
        <is>
          <t>Fallidos · ciclo 1</t>
        </is>
      </c>
      <c r="B6" s="11" t="inlineStr">
        <is>
          <t>9</t>
        </is>
      </c>
      <c r="C6" s="11" t="inlineStr">
        <is>
          <t>—</t>
        </is>
      </c>
    </row>
    <row r="7">
      <c r="A7" s="11" t="inlineStr">
        <is>
          <t>Bloqueados · ciclo 1 (Google)</t>
        </is>
      </c>
      <c r="B7" s="11" t="inlineStr">
        <is>
          <t>2</t>
        </is>
      </c>
      <c r="C7" s="11" t="inlineStr">
        <is>
          <t>Menos de 10 %</t>
        </is>
      </c>
    </row>
    <row r="8">
      <c r="A8" s="11" t="inlineStr">
        <is>
          <t>Tasa de aprobación · ciclo 1</t>
        </is>
      </c>
      <c r="B8" s="11" t="inlineStr">
        <is>
          <t>72 %</t>
        </is>
      </c>
      <c r="C8" s="11" t="inlineStr">
        <is>
          <t>Se lee con el riesgo</t>
        </is>
      </c>
    </row>
    <row r="9">
      <c r="A9" s="11" t="inlineStr">
        <is>
          <t>Tasa de aprobación · ciclo 2</t>
        </is>
      </c>
      <c r="B9" s="11" t="inlineStr">
        <is>
          <t>44 %</t>
        </is>
      </c>
      <c r="C9" s="11" t="inlineStr">
        <is>
          <t>Se lee con el riesgo</t>
        </is>
      </c>
    </row>
    <row r="10">
      <c r="A10" s="11" t="inlineStr">
        <is>
          <t>Defectos reportados</t>
        </is>
      </c>
      <c r="B10" s="11" t="inlineStr">
        <is>
          <t>14</t>
        </is>
      </c>
      <c r="C10" s="11" t="inlineStr">
        <is>
          <t>10 o más</t>
        </is>
      </c>
    </row>
    <row r="11">
      <c r="A11" s="11" t="inlineStr">
        <is>
          <t>Defectos por severidad</t>
        </is>
      </c>
      <c r="B11" s="11" t="inlineStr">
        <is>
          <t>1 crítica · 2 altas · 9 medias · 2 bajas</t>
        </is>
      </c>
      <c r="C11" s="11" t="inlineStr">
        <is>
          <t>Sin críticos abiertos</t>
        </is>
      </c>
    </row>
    <row r="12">
      <c r="A12" s="11" t="inlineStr">
        <is>
          <t>Defectos verificados (corregidos)</t>
        </is>
      </c>
      <c r="B12" s="11" t="inlineStr">
        <is>
          <t>1 de 14 (DEF-05)</t>
        </is>
      </c>
      <c r="C12" s="11" t="inlineStr">
        <is>
          <t>—</t>
        </is>
      </c>
    </row>
    <row r="15">
      <c r="A15" s="2" t="inlineStr">
        <is>
          <t>Severidad</t>
        </is>
      </c>
      <c r="B15" s="2" t="inlineStr">
        <is>
          <t>Defectos</t>
        </is>
      </c>
    </row>
    <row r="16">
      <c r="A16" t="inlineStr">
        <is>
          <t>Crítica</t>
        </is>
      </c>
      <c r="B16" t="n">
        <v>1</v>
      </c>
    </row>
    <row r="17">
      <c r="A17" t="inlineStr">
        <is>
          <t>Alta</t>
        </is>
      </c>
      <c r="B17" t="n">
        <v>2</v>
      </c>
    </row>
    <row r="18">
      <c r="A18" t="inlineStr">
        <is>
          <t>Media</t>
        </is>
      </c>
      <c r="B18" t="n">
        <v>9</v>
      </c>
    </row>
    <row r="19">
      <c r="A19" t="inlineStr">
        <is>
          <t>Baja</t>
        </is>
      </c>
      <c r="B19" t="n">
        <v>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2026-10-07T21:33:46Z</dcterms:created>
  <dcterms:modified xmlns:dcterms="http://purl.org/dc/terms/" xmlns:xsi="http://www.w3.org/2001/XMLSchema-instance" xsi:type="dcterms:W3CDTF">2026-10-07T21:33:46Z</dcterms:modified>
</cp:coreProperties>
</file>